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au de bord" sheetId="1" state="visible" r:id="rId1"/>
    <sheet xmlns:r="http://schemas.openxmlformats.org/officeDocument/2006/relationships" name="Suivi anomalies R7" sheetId="2" state="visible" r:id="rId2"/>
    <sheet xmlns:r="http://schemas.openxmlformats.org/officeDocument/2006/relationships" name="Matrice recette R7.1" sheetId="3" state="visible" r:id="rId3"/>
    <sheet xmlns:r="http://schemas.openxmlformats.org/officeDocument/2006/relationships" name="Plan correction R7.1" sheetId="4" state="visible" r:id="rId4"/>
    <sheet xmlns:r="http://schemas.openxmlformats.org/officeDocument/2006/relationships" name="Référentiel" sheetId="5" state="visible" r:id="rId5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i val="1"/>
      <color rgb="FF0F172A"/>
      <sz val="11"/>
    </font>
    <font>
      <name val="Carlito"/>
      <b val="1"/>
      <color rgb="FF0F172A"/>
      <sz val="11"/>
    </font>
    <font>
      <name val="Carlito"/>
      <b val="1"/>
      <color rgb="FF0F172A"/>
      <sz val="16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BEAFE"/>
      </patternFill>
    </fill>
  </fills>
  <borders count="2">
    <border/>
    <border/>
  </borders>
  <cellStyleXfs count="1">
    <xf numFmtId="0" fontId="0" fillId="0" borderId="1"/>
  </cellStyleXfs>
  <cellXfs count="5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9" fontId="0" fillId="0" borderId="0" pivotButton="0" quotePrefix="0" xfId="0"/>
    <xf numFmtId="9" fontId="0" fillId="0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9" fontId="0" fillId="4" borderId="0" pivotButton="0" quotePrefix="0" xfId="0"/>
    <xf numFmtId="0" fontId="5" fillId="4" borderId="0" pivotButton="0" quotePrefix="0" xfId="0"/>
    <xf numFmtId="9" fontId="5" fillId="4" borderId="0" pivotButton="0" quotePrefix="0" xfId="0"/>
    <xf numFmtId="0" fontId="5" fillId="4" borderId="0" applyAlignment="1" pivotButton="0" quotePrefix="0" xfId="0">
      <alignment horizontal="center"/>
    </xf>
    <xf numFmtId="9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9" fontId="5" fillId="4" borderId="0" applyAlignment="1" pivotButton="0" quotePrefix="0" xfId="0">
      <alignment horizontal="center" vertical="center"/>
    </xf>
    <xf numFmtId="9" fontId="0" fillId="4" borderId="1" pivotButton="0" quotePrefix="0" xfId="0"/>
    <xf numFmtId="0" fontId="5" fillId="4" borderId="1" pivotButton="0" quotePrefix="0" xfId="0"/>
    <xf numFmtId="9" fontId="5" fillId="4" borderId="1" pivotButton="0" quotePrefix="0" xfId="0"/>
    <xf numFmtId="0" fontId="5" fillId="4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9" fontId="5" fillId="4" borderId="1" applyAlignment="1" pivotButton="0" quotePrefix="0" xfId="0">
      <alignment horizontal="center" vertical="center"/>
    </xf>
  </cellXfs>
  <cellStyles count="1">
    <cellStyle name="Normal" xfId="0"/>
  </cellStyles>
  <dxfs count="17">
    <dxf>
      <fill>
        <patternFill patternType="solid">
          <bgColor rgb="FFFCA5A5"/>
        </patternFill>
      </fill>
    </dxf>
    <dxf>
      <fill>
        <patternFill patternType="solid">
          <bgColor rgb="FFFED7AA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Anomalies par priorité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ln xmlns:a="http://schemas.openxmlformats.org/drawingml/2006/main">
              <a:prstDash val="solid"/>
            </a:ln>
          </spPr>
          <cat>
            <strRef>
              <f>'Tableau de bord'!$A$9:$A$11</f>
              <strCache>
                <ptCount val="0"/>
              </strCache>
            </strRef>
          </cat>
          <val>
            <numRef>
              <f>'Tableau de bord'!$B$9:$B$11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21</row>
      <rowOff>0</rowOff>
    </from>
    <to>
      <col>8</col>
      <colOff>0</colOff>
      <row>37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nomaliesR7" displayName="AnomaliesR7" ref="A1:O23" headerRowCount="1">
  <tableColumns count="15">
    <tableColumn id="1" name="ID"/>
    <tableColumn id="2" name="Priorité"/>
    <tableColumn id="3" name="Module"/>
    <tableColumn id="4" name="Issue GitHub"/>
    <tableColumn id="5" name="Titre"/>
    <tableColumn id="6" name="Type"/>
    <tableColumn id="7" name="Statut recette R6.1"/>
    <tableColumn id="8" name="Statut correction"/>
    <tableColumn id="9" name="Sprint"/>
    <tableColumn id="10" name="Responsable"/>
    <tableColumn id="11" name="Date création"/>
    <tableColumn id="12" name="Date correction"/>
    <tableColumn id="13" name="Tests à rejouer"/>
    <tableColumn id="14" name="Critère d'acceptation"/>
    <tableColumn id="15" name="Commentaire"/>
  </tableColumns>
  <tableStyleInfo name="TableStyleMedium2" showRowStripes="1"/>
</table>
</file>

<file path=xl/tables/table2.xml><?xml version="1.0" encoding="utf-8"?>
<table xmlns="http://schemas.openxmlformats.org/spreadsheetml/2006/main" id="2" name="MatriceR71" displayName="MatriceR71" ref="A1:N32" headerRowCount="1">
  <tableColumns count="14">
    <tableColumn id="1" name="ID test"/>
    <tableColumn id="2" name="Priorité"/>
    <tableColumn id="3" name="Module"/>
    <tableColumn id="4" name="Issue liée"/>
    <tableColumn id="5" name="Objectif du test"/>
    <tableColumn id="6" name="Préconditions"/>
    <tableColumn id="7" name="Étapes de test"/>
    <tableColumn id="8" name="Résultat attendu"/>
    <tableColumn id="9" name="Statut R6.1"/>
    <tableColumn id="10" name="Résultat R7.1"/>
    <tableColumn id="11" name="Statut après correction"/>
    <tableColumn id="12" name="Testeur"/>
    <tableColumn id="13" name="Date test"/>
    <tableColumn id="14" name="Commentaire"/>
  </tableColumns>
  <tableStyleInfo name="TableStyleMedium2" showRowStripes="1"/>
</table>
</file>

<file path=xl/tables/table3.xml><?xml version="1.0" encoding="utf-8"?>
<table xmlns="http://schemas.openxmlformats.org/spreadsheetml/2006/main" id="3" name="PlanR71" displayName="PlanR71" ref="A1:H8" headerRowCount="1">
  <tableColumns count="8">
    <tableColumn id="1" name="Ordre"/>
    <tableColumn id="2" name="Lot"/>
    <tableColumn id="3" name="Module"/>
    <tableColumn id="4" name="Issues"/>
    <tableColumn id="5" name="Travail de correction"/>
    <tableColumn id="6" name="Critères d'acceptation"/>
    <tableColumn id="7" name="Tests principaux"/>
    <tableColumn id="8" name="Statu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2" customWidth="1" min="4" max="4"/>
    <col width="48" customWidth="1" min="5" max="5"/>
    <col width="12" customWidth="1" min="6" max="6"/>
    <col width="20" customWidth="1" min="7" max="7"/>
    <col width="20" customWidth="1" min="8" max="8"/>
  </cols>
  <sheetData>
    <row r="1" ht="26" customHeight="1">
      <c r="A1" s="23" t="inlineStr">
        <is>
          <t>Valoria Vision — Pilotage correctif V0.6.6-R7.1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7" t="inlineStr">
        <is>
          <t>Base : V0.6.6-R6.1 | Décision recette : NO GO | Objectif : corriger les P0 cœur métier avant nouvelle recette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3" t="inlineStr">
        <is>
          <t>Anomalies totales</t>
        </is>
      </c>
      <c r="B4" s="1" t="n"/>
      <c r="C4" s="33" t="inlineStr">
        <is>
          <t>P0 à corriger</t>
        </is>
      </c>
      <c r="D4" s="1" t="n"/>
      <c r="E4" s="33" t="inlineStr">
        <is>
          <t>Tests R7.1 à rejouer</t>
        </is>
      </c>
      <c r="F4" s="1" t="n"/>
      <c r="G4" s="33" t="inlineStr">
        <is>
          <t>Progression anomalies</t>
        </is>
      </c>
      <c r="H4" s="1" t="n"/>
    </row>
    <row r="5">
      <c r="A5" s="46">
        <f>COUNTA('Suivi anomalies R7'!$A$2:$A$23)</f>
        <v/>
      </c>
      <c r="B5" s="1" t="n"/>
      <c r="C5" s="46">
        <f>COUNTIFS('Suivi anomalies R7'!$B$2:$B$23,"P0",'Suivi anomalies R7'!$H$2:$H$23,"À corriger")</f>
        <v/>
      </c>
      <c r="D5" s="1" t="n"/>
      <c r="E5" s="46">
        <f>COUNTIF('Matrice recette R7.1'!$J$2:$J$32,"À rejouer")</f>
        <v/>
      </c>
      <c r="F5" s="1" t="n"/>
      <c r="G5" s="58">
        <f>IFERROR(COUNTIF('Suivi anomalies R7'!$H$2:$H$23,"Clôturée")/COUNTA('Suivi anomalies R7'!$A$2:$A$23),0)</f>
        <v/>
      </c>
      <c r="H5" s="1" t="n"/>
    </row>
    <row r="8">
      <c r="A8" s="6" t="inlineStr">
        <is>
          <t>Priorité</t>
        </is>
      </c>
      <c r="B8" s="6" t="inlineStr">
        <is>
          <t>Total</t>
        </is>
      </c>
      <c r="C8" s="6" t="inlineStr">
        <is>
          <t>À corriger</t>
        </is>
      </c>
      <c r="D8" s="6" t="inlineStr">
        <is>
          <t>En cours</t>
        </is>
      </c>
      <c r="E8" s="6" t="inlineStr">
        <is>
          <t>À retester</t>
        </is>
      </c>
      <c r="F8" s="6" t="inlineStr">
        <is>
          <t>Corrigée/Clôturée</t>
        </is>
      </c>
    </row>
    <row r="9">
      <c r="A9" s="51" t="inlineStr">
        <is>
          <t>P0</t>
        </is>
      </c>
      <c r="B9" s="48">
        <f>COUNTIF('Suivi anomalies R7'!$B$2:$B$23,"P0")</f>
        <v/>
      </c>
      <c r="C9" s="48">
        <f>COUNTIFS('Suivi anomalies R7'!$B$2:$B$23,"P0",'Suivi anomalies R7'!$H$2:$H$23,"À corriger")</f>
        <v/>
      </c>
      <c r="D9" s="48">
        <f>COUNTIFS('Suivi anomalies R7'!$B$2:$B$23,"P0",'Suivi anomalies R7'!$H$2:$H$23,"En cours")</f>
        <v/>
      </c>
      <c r="E9" s="48">
        <f>COUNTIFS('Suivi anomalies R7'!$B$2:$B$23,"P0",'Suivi anomalies R7'!$H$2:$H$23,"À retester")</f>
        <v/>
      </c>
      <c r="F9" s="48">
        <f>COUNTIFS('Suivi anomalies R7'!$B$2:$B$23,"P0",'Suivi anomalies R7'!$H$2:$H$23,"Clôturée")+COUNTIFS('Suivi anomalies R7'!$B$2:$B$23,"P0",'Suivi anomalies R7'!$H$2:$H$23,"Corrigée")</f>
        <v/>
      </c>
    </row>
    <row r="10">
      <c r="A10" s="51" t="inlineStr">
        <is>
          <t>P1</t>
        </is>
      </c>
      <c r="B10" s="48">
        <f>COUNTIF('Suivi anomalies R7'!$B$2:$B$23,"P1")</f>
        <v/>
      </c>
      <c r="C10" s="48">
        <f>COUNTIFS('Suivi anomalies R7'!$B$2:$B$23,"P1",'Suivi anomalies R7'!$H$2:$H$23,"À corriger")</f>
        <v/>
      </c>
      <c r="D10" s="48">
        <f>COUNTIFS('Suivi anomalies R7'!$B$2:$B$23,"P1",'Suivi anomalies R7'!$H$2:$H$23,"En cours")</f>
        <v/>
      </c>
      <c r="E10" s="48">
        <f>COUNTIFS('Suivi anomalies R7'!$B$2:$B$23,"P1",'Suivi anomalies R7'!$H$2:$H$23,"À retester")</f>
        <v/>
      </c>
      <c r="F10" s="48">
        <f>COUNTIFS('Suivi anomalies R7'!$B$2:$B$23,"P1",'Suivi anomalies R7'!$H$2:$H$23,"Clôturée")+COUNTIFS('Suivi anomalies R7'!$B$2:$B$23,"P1",'Suivi anomalies R7'!$H$2:$H$23,"Corrigée")</f>
        <v/>
      </c>
    </row>
    <row r="11">
      <c r="A11" s="51" t="inlineStr">
        <is>
          <t>P2</t>
        </is>
      </c>
      <c r="B11" s="48">
        <f>COUNTIF('Suivi anomalies R7'!$B$2:$B$23,"P2")</f>
        <v/>
      </c>
      <c r="C11" s="48">
        <f>COUNTIFS('Suivi anomalies R7'!$B$2:$B$23,"P2",'Suivi anomalies R7'!$H$2:$H$23,"À corriger")</f>
        <v/>
      </c>
      <c r="D11" s="48">
        <f>COUNTIFS('Suivi anomalies R7'!$B$2:$B$23,"P2",'Suivi anomalies R7'!$H$2:$H$23,"En cours")</f>
        <v/>
      </c>
      <c r="E11" s="48">
        <f>COUNTIFS('Suivi anomalies R7'!$B$2:$B$23,"P2",'Suivi anomalies R7'!$H$2:$H$23,"À retester")</f>
        <v/>
      </c>
      <c r="F11" s="48">
        <f>COUNTIFS('Suivi anomalies R7'!$B$2:$B$23,"P2",'Suivi anomalies R7'!$H$2:$H$23,"Clôturée")+COUNTIFS('Suivi anomalies R7'!$B$2:$B$23,"P2",'Suivi anomalies R7'!$H$2:$H$23,"Corrigée")</f>
        <v/>
      </c>
    </row>
    <row r="14">
      <c r="A14" s="11" t="inlineStr">
        <is>
          <t>Critères de sortie R7.1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6" t="inlineStr">
        <is>
          <t>Critère</t>
        </is>
      </c>
      <c r="B15" s="6" t="inlineStr">
        <is>
          <t>Statut</t>
        </is>
      </c>
      <c r="D15" s="55" t="inlineStr">
        <is>
          <t>1</t>
        </is>
      </c>
      <c r="E15" s="14" t="inlineStr">
        <is>
          <t>Développeur : traiter les P0 dans l’ordre du Plan correction R7.1.</t>
        </is>
      </c>
    </row>
    <row r="16">
      <c r="A16" s="14" t="inlineStr">
        <is>
          <t>Toutes les issues P0 corrigées ou requalifiées</t>
        </is>
      </c>
      <c r="B16" t="inlineStr">
        <is>
          <t>À vérifier</t>
        </is>
      </c>
      <c r="D16" s="55" t="inlineStr">
        <is>
          <t>2</t>
        </is>
      </c>
      <c r="E16" s="14" t="inlineStr">
        <is>
          <t>Mettre à jour le statut des issues dans Suivi anomalies R7.</t>
        </is>
      </c>
    </row>
    <row r="17">
      <c r="A17" s="14" t="inlineStr">
        <is>
          <t>Aucun nouveau KO majeur introduit</t>
        </is>
      </c>
      <c r="B17" t="inlineStr">
        <is>
          <t>À vérifier</t>
        </is>
      </c>
      <c r="D17" s="55" t="inlineStr">
        <is>
          <t>3</t>
        </is>
      </c>
      <c r="E17" s="14" t="inlineStr">
        <is>
          <t>Quand une correction est livrée, passer les tests liés dans Matrice recette R7.1.</t>
        </is>
      </c>
    </row>
    <row r="18">
      <c r="A18" s="14" t="inlineStr">
        <is>
          <t>Transactions entièrement modifiables</t>
        </is>
      </c>
      <c r="B18" t="inlineStr">
        <is>
          <t>À vérifier</t>
        </is>
      </c>
      <c r="D18" s="55" t="inlineStr">
        <is>
          <t>4</t>
        </is>
      </c>
      <c r="E18" s="14" t="inlineStr">
        <is>
          <t>Ne fermer une anomalie qu’après test OK ou requalification formelle.</t>
        </is>
      </c>
    </row>
    <row r="19">
      <c r="A19" s="14" t="inlineStr">
        <is>
          <t>Patrimoine cohérent</t>
        </is>
      </c>
      <c r="B19" t="inlineStr">
        <is>
          <t>À vérifier</t>
        </is>
      </c>
      <c r="D19" s="55" t="inlineStr">
        <is>
          <t>5</t>
        </is>
      </c>
      <c r="E19" s="14" t="inlineStr">
        <is>
          <t>Nouvelle recette R7.1 possible uniquement si tous les P0 sont corrigés/requalifiés.</t>
        </is>
      </c>
    </row>
    <row r="20">
      <c r="A20" s="14" t="inlineStr">
        <is>
          <t>Rapprochements exploitables</t>
        </is>
      </c>
      <c r="B20" t="inlineStr">
        <is>
          <t>À vérifier</t>
        </is>
      </c>
    </row>
    <row r="21">
      <c r="A21" s="14" t="inlineStr">
        <is>
          <t>Événements ponctuels disponibles</t>
        </is>
      </c>
      <c r="B21" t="inlineStr">
        <is>
          <t>À vérifier</t>
        </is>
      </c>
    </row>
    <row r="22">
      <c r="A22" s="14" t="inlineStr">
        <is>
          <t>Scénarios connectés au prévisionnel</t>
        </is>
      </c>
      <c r="B22" t="inlineStr">
        <is>
          <t>À vérifier</t>
        </is>
      </c>
    </row>
    <row r="23">
      <c r="A23" s="14" t="inlineStr">
        <is>
          <t>Règles automatiques applicables</t>
        </is>
      </c>
      <c r="B23" t="inlineStr">
        <is>
          <t>À vérifier</t>
        </is>
      </c>
    </row>
    <row r="24">
      <c r="A24" s="14" t="inlineStr">
        <is>
          <t>Budget, sauvegarde, sécurité locale et redémarrage toujours OK</t>
        </is>
      </c>
      <c r="B24" t="inlineStr">
        <is>
          <t>À vérifier</t>
        </is>
      </c>
    </row>
  </sheetData>
  <mergeCells count="12">
    <mergeCell ref="A4:B4"/>
    <mergeCell ref="G4:H4"/>
    <mergeCell ref="E4:F4"/>
    <mergeCell ref="A2:H2"/>
    <mergeCell ref="C5:D5"/>
    <mergeCell ref="A5:B5"/>
    <mergeCell ref="G5:H5"/>
    <mergeCell ref="E5:F5"/>
    <mergeCell ref="A14:H14"/>
    <mergeCell ref="D14:H14"/>
    <mergeCell ref="A1:H1"/>
    <mergeCell ref="C4:D4"/>
  </mergeCells>
  <conditionalFormatting sqref="B16:B24">
    <cfRule type="expression" priority="1" dxfId="4">
      <formula>B16="OK"</formula>
    </cfRule>
    <cfRule type="expression" priority="2" dxfId="3">
      <formula>B16="KO"</formula>
    </cfRule>
    <cfRule type="expression" priority="3" dxfId="5">
      <formula>B16="À vérifier"</formula>
    </cfRule>
  </conditionalFormatting>
  <dataValidations count="1">
    <dataValidation sqref="B16:B24" showDropDown="0" showInputMessage="0" showErrorMessage="0" allowBlank="0" type="list">
      <formula1>"À vérifier,OK,KO,Bloqué"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42" customWidth="1" min="5" max="5"/>
    <col width="16" customWidth="1" min="6" max="6"/>
    <col width="24" customWidth="1" min="7" max="7"/>
    <col width="18" customWidth="1" min="8" max="8"/>
    <col width="10" customWidth="1" min="9" max="9"/>
    <col width="16" customWidth="1" min="10" max="10"/>
    <col width="14" customWidth="1" min="11" max="11"/>
    <col width="14" customWidth="1" min="12" max="12"/>
    <col width="28" customWidth="1" min="13" max="13"/>
    <col width="48" customWidth="1" min="14" max="14"/>
    <col width="28" customWidth="1" min="15" max="15"/>
  </cols>
  <sheetData>
    <row r="1" ht="26" customHeight="1">
      <c r="A1" s="6" t="inlineStr">
        <is>
          <t>ID</t>
        </is>
      </c>
      <c r="B1" s="6" t="inlineStr">
        <is>
          <t>Priorité</t>
        </is>
      </c>
      <c r="C1" s="6" t="inlineStr">
        <is>
          <t>Module</t>
        </is>
      </c>
      <c r="D1" s="6" t="inlineStr">
        <is>
          <t>Issue GitHub</t>
        </is>
      </c>
      <c r="E1" s="6" t="inlineStr">
        <is>
          <t>Titre</t>
        </is>
      </c>
      <c r="F1" s="6" t="inlineStr">
        <is>
          <t>Type</t>
        </is>
      </c>
      <c r="G1" s="6" t="inlineStr">
        <is>
          <t>Statut recette R6.1</t>
        </is>
      </c>
      <c r="H1" s="6" t="inlineStr">
        <is>
          <t>Statut correction</t>
        </is>
      </c>
      <c r="I1" s="6" t="inlineStr">
        <is>
          <t>Sprint</t>
        </is>
      </c>
      <c r="J1" s="6" t="inlineStr">
        <is>
          <t>Responsable</t>
        </is>
      </c>
      <c r="K1" s="6" t="inlineStr">
        <is>
          <t>Date création</t>
        </is>
      </c>
      <c r="L1" s="6" t="inlineStr">
        <is>
          <t>Date correction</t>
        </is>
      </c>
      <c r="M1" s="6" t="inlineStr">
        <is>
          <t>Tests à rejouer</t>
        </is>
      </c>
      <c r="N1" s="6" t="inlineStr">
        <is>
          <t>Critère d'acceptation</t>
        </is>
      </c>
      <c r="O1" s="6" t="inlineStr">
        <is>
          <t>Commentaire</t>
        </is>
      </c>
    </row>
    <row r="2">
      <c r="A2" s="14" t="inlineStr">
        <is>
          <t>R7-P0-01</t>
        </is>
      </c>
      <c r="B2" s="14" t="inlineStr">
        <is>
          <t>P0</t>
        </is>
      </c>
      <c r="C2" s="14" t="inlineStr">
        <is>
          <t>Transactions</t>
        </is>
      </c>
      <c r="D2" s="14" t="inlineStr">
        <is>
          <t>#2</t>
        </is>
      </c>
      <c r="E2" s="14" t="inlineStr">
        <is>
          <t>Modification transaction limitée à la catégorie</t>
        </is>
      </c>
      <c r="F2" s="14" t="inlineStr">
        <is>
          <t>Anomalie</t>
        </is>
      </c>
      <c r="G2" s="14" t="inlineStr">
        <is>
          <t>KO majeur</t>
        </is>
      </c>
      <c r="H2" s="14" t="inlineStr">
        <is>
          <t>À corriger</t>
        </is>
      </c>
      <c r="I2" s="14" t="inlineStr">
        <is>
          <t>R7.1</t>
        </is>
      </c>
      <c r="J2" s="14" t="str"/>
      <c r="K2" s="14" t="str"/>
      <c r="L2" s="14" t="str"/>
      <c r="M2" s="14" t="inlineStr">
        <is>
          <t>T7, T4, T10, T93, T94</t>
        </is>
      </c>
      <c r="N2" s="14" t="inlineStr">
        <is>
          <t>Une transaction existante peut être entièrement modifiée et tous les impacts sont recalculés.</t>
        </is>
      </c>
      <c r="O2" s="14" t="str"/>
    </row>
    <row r="3">
      <c r="A3" s="14" t="inlineStr">
        <is>
          <t>R7-P0-02</t>
        </is>
      </c>
      <c r="B3" s="14" t="inlineStr">
        <is>
          <t>P0</t>
        </is>
      </c>
      <c r="C3" s="14" t="inlineStr">
        <is>
          <t>Patrimoine</t>
        </is>
      </c>
      <c r="D3" s="14" t="inlineStr">
        <is>
          <t>#23</t>
        </is>
      </c>
      <c r="E3" s="14" t="inlineStr">
        <is>
          <t>Impossible de modifier ou supprimer un actif patrimonial</t>
        </is>
      </c>
      <c r="F3" s="14" t="inlineStr">
        <is>
          <t>Anomalie</t>
        </is>
      </c>
      <c r="G3" s="14" t="inlineStr">
        <is>
          <t>KO majeur</t>
        </is>
      </c>
      <c r="H3" s="14" t="inlineStr">
        <is>
          <t>À corriger</t>
        </is>
      </c>
      <c r="I3" s="14" t="inlineStr">
        <is>
          <t>R7.1</t>
        </is>
      </c>
      <c r="J3" s="14" t="str"/>
      <c r="K3" s="14" t="str"/>
      <c r="L3" s="14" t="str"/>
      <c r="M3" s="14" t="inlineStr">
        <is>
          <t>T64, T65, T67, T94</t>
        </is>
      </c>
      <c r="N3" s="14" t="inlineStr">
        <is>
          <t>Les actifs peuvent être modifiés et supprimés sans incohérence.</t>
        </is>
      </c>
      <c r="O3" s="14" t="str"/>
    </row>
    <row r="4">
      <c r="A4" s="14" t="inlineStr">
        <is>
          <t>R7-P0-03</t>
        </is>
      </c>
      <c r="B4" s="14" t="inlineStr">
        <is>
          <t>P0</t>
        </is>
      </c>
      <c r="C4" s="14" t="inlineStr">
        <is>
          <t>Patrimoine</t>
        </is>
      </c>
      <c r="D4" s="14" t="inlineStr">
        <is>
          <t>#24</t>
        </is>
      </c>
      <c r="E4" s="14" t="inlineStr">
        <is>
          <t>Les passifs créés sont classés dans les actifs</t>
        </is>
      </c>
      <c r="F4" s="14" t="inlineStr">
        <is>
          <t>Anomalie</t>
        </is>
      </c>
      <c r="G4" s="14" t="inlineStr">
        <is>
          <t>KO majeur</t>
        </is>
      </c>
      <c r="H4" s="14" t="inlineStr">
        <is>
          <t>À corriger</t>
        </is>
      </c>
      <c r="I4" s="14" t="inlineStr">
        <is>
          <t>R7.1</t>
        </is>
      </c>
      <c r="J4" s="14" t="str"/>
      <c r="K4" s="14" t="str"/>
      <c r="L4" s="14" t="str"/>
      <c r="M4" s="14" t="inlineStr">
        <is>
          <t>T66, T67, T68, T94</t>
        </is>
      </c>
      <c r="N4" s="14" t="inlineStr">
        <is>
          <t>Les passifs sont créés et affichés dans l’onglet Passifs.</t>
        </is>
      </c>
      <c r="O4" s="14" t="str"/>
    </row>
    <row r="5">
      <c r="A5" s="14" t="inlineStr">
        <is>
          <t>R7-P0-04</t>
        </is>
      </c>
      <c r="B5" s="14" t="inlineStr">
        <is>
          <t>P0</t>
        </is>
      </c>
      <c r="C5" s="14" t="inlineStr">
        <is>
          <t>Patrimoine</t>
        </is>
      </c>
      <c r="D5" s="14" t="inlineStr">
        <is>
          <t>#26</t>
        </is>
      </c>
      <c r="E5" s="14" t="inlineStr">
        <is>
          <t>Incohérence entre indicateurs Patrimoine, Actifs et Passifs</t>
        </is>
      </c>
      <c r="F5" s="14" t="inlineStr">
        <is>
          <t>Anomalie</t>
        </is>
      </c>
      <c r="G5" s="14" t="inlineStr">
        <is>
          <t>KO majeur</t>
        </is>
      </c>
      <c r="H5" s="14" t="inlineStr">
        <is>
          <t>À corriger</t>
        </is>
      </c>
      <c r="I5" s="14" t="inlineStr">
        <is>
          <t>R7.1</t>
        </is>
      </c>
      <c r="J5" s="14" t="str"/>
      <c r="K5" s="14" t="str"/>
      <c r="L5" s="14" t="str"/>
      <c r="M5" s="14" t="inlineStr">
        <is>
          <t>T67, T68, T69, T94</t>
        </is>
      </c>
      <c r="N5" s="14" t="inlineStr">
        <is>
          <t>Patrimoine net = total actifs - total passifs, cohérent avec les listes.</t>
        </is>
      </c>
      <c r="O5" s="14" t="str"/>
    </row>
    <row r="6">
      <c r="A6" s="14" t="inlineStr">
        <is>
          <t>R7-P0-05</t>
        </is>
      </c>
      <c r="B6" s="14" t="inlineStr">
        <is>
          <t>P0</t>
        </is>
      </c>
      <c r="C6" s="14" t="inlineStr">
        <is>
          <t>Rapprochements</t>
        </is>
      </c>
      <c r="D6" s="14" t="inlineStr">
        <is>
          <t>#15</t>
        </is>
      </c>
      <c r="E6" s="14" t="inlineStr">
        <is>
          <t>Les transactions manuelles n’apparaissent pas dans les rapprochements</t>
        </is>
      </c>
      <c r="F6" s="14" t="inlineStr">
        <is>
          <t>Anomalie</t>
        </is>
      </c>
      <c r="G6" s="14" t="inlineStr">
        <is>
          <t>KO majeur</t>
        </is>
      </c>
      <c r="H6" s="14" t="inlineStr">
        <is>
          <t>À corriger</t>
        </is>
      </c>
      <c r="I6" s="14" t="inlineStr">
        <is>
          <t>R7.1</t>
        </is>
      </c>
      <c r="J6" s="14" t="str"/>
      <c r="K6" s="14" t="str"/>
      <c r="L6" s="14" t="str"/>
      <c r="M6" s="14" t="inlineStr">
        <is>
          <t>T45B, T46, T52, T53</t>
        </is>
      </c>
      <c r="N6" s="14" t="inlineStr">
        <is>
          <t>Les transactions manuelles éligibles apparaissent et sont rapprochables.</t>
        </is>
      </c>
      <c r="O6" s="14" t="str"/>
    </row>
    <row r="7">
      <c r="A7" s="14" t="inlineStr">
        <is>
          <t>R7-P0-06</t>
        </is>
      </c>
      <c r="B7" s="14" t="inlineStr">
        <is>
          <t>P0</t>
        </is>
      </c>
      <c r="C7" s="14" t="inlineStr">
        <is>
          <t>Rapprochements</t>
        </is>
      </c>
      <c r="D7" s="14" t="inlineStr">
        <is>
          <t>#17</t>
        </is>
      </c>
      <c r="E7" s="14" t="inlineStr">
        <is>
          <t>Incohérence entre Marquer les retards et le compteur En retard</t>
        </is>
      </c>
      <c r="F7" s="14" t="inlineStr">
        <is>
          <t>Anomalie</t>
        </is>
      </c>
      <c r="G7" s="14" t="inlineStr">
        <is>
          <t>KO majeur</t>
        </is>
      </c>
      <c r="H7" s="14" t="inlineStr">
        <is>
          <t>À corriger</t>
        </is>
      </c>
      <c r="I7" s="14" t="inlineStr">
        <is>
          <t>R7.1</t>
        </is>
      </c>
      <c r="J7" s="14" t="str"/>
      <c r="K7" s="14" t="str"/>
      <c r="L7" s="14" t="str"/>
      <c r="M7" s="14" t="inlineStr">
        <is>
          <t>T47, T48, T52, T53</t>
        </is>
      </c>
      <c r="N7" s="14" t="inlineStr">
        <is>
          <t>Les retards sont calculés, affichés et traités de façon cohérente.</t>
        </is>
      </c>
      <c r="O7" s="14" t="str"/>
    </row>
    <row r="8">
      <c r="A8" s="14" t="inlineStr">
        <is>
          <t>R7-P0-07</t>
        </is>
      </c>
      <c r="B8" s="14" t="inlineStr">
        <is>
          <t>P0</t>
        </is>
      </c>
      <c r="C8" s="14" t="inlineStr">
        <is>
          <t>Rapprochements</t>
        </is>
      </c>
      <c r="D8" s="14" t="inlineStr">
        <is>
          <t>#18</t>
        </is>
      </c>
      <c r="E8" s="14" t="inlineStr">
        <is>
          <t>Confirmer une occurrence ne produit aucun effet visible</t>
        </is>
      </c>
      <c r="F8" s="14" t="inlineStr">
        <is>
          <t>Anomalie</t>
        </is>
      </c>
      <c r="G8" s="14" t="inlineStr">
        <is>
          <t>KO majeur</t>
        </is>
      </c>
      <c r="H8" s="14" t="inlineStr">
        <is>
          <t>À corriger</t>
        </is>
      </c>
      <c r="I8" s="14" t="inlineStr">
        <is>
          <t>R7.1</t>
        </is>
      </c>
      <c r="J8" s="14" t="str"/>
      <c r="K8" s="14" t="str"/>
      <c r="L8" s="14" t="str"/>
      <c r="M8" s="14" t="inlineStr">
        <is>
          <t>T51, T52, T53</t>
        </is>
      </c>
      <c r="N8" s="14" t="inlineStr">
        <is>
          <t>La confirmation change le statut, les compteurs et persiste après redémarrage.</t>
        </is>
      </c>
      <c r="O8" s="14" t="str"/>
    </row>
    <row r="9">
      <c r="A9" s="14" t="inlineStr">
        <is>
          <t>R7-P0-08</t>
        </is>
      </c>
      <c r="B9" s="14" t="inlineStr">
        <is>
          <t>P0</t>
        </is>
      </c>
      <c r="C9" s="14" t="inlineStr">
        <is>
          <t>Prévisionnel</t>
        </is>
      </c>
      <c r="D9" s="14" t="inlineStr">
        <is>
          <t>#10</t>
        </is>
      </c>
      <c r="E9" s="14" t="inlineStr">
        <is>
          <t>Impossible de créer un événement ponctuel prévisionnel</t>
        </is>
      </c>
      <c r="F9" s="14" t="inlineStr">
        <is>
          <t>Anomalie</t>
        </is>
      </c>
      <c r="G9" s="14" t="inlineStr">
        <is>
          <t>KO majeur</t>
        </is>
      </c>
      <c r="H9" s="14" t="inlineStr">
        <is>
          <t>À corriger</t>
        </is>
      </c>
      <c r="I9" s="14" t="inlineStr">
        <is>
          <t>R7.1</t>
        </is>
      </c>
      <c r="J9" s="14" t="str"/>
      <c r="K9" s="14" t="str"/>
      <c r="L9" s="14" t="str"/>
      <c r="M9" s="14" t="inlineStr">
        <is>
          <t>T24, T19, T21, T25, T26, T94</t>
        </is>
      </c>
      <c r="N9" s="14" t="inlineStr">
        <is>
          <t>Un événement ponctuel unique impacte le prévisionnel au bon jour.</t>
        </is>
      </c>
      <c r="O9" s="14" t="str"/>
    </row>
    <row r="10">
      <c r="A10" s="14" t="inlineStr">
        <is>
          <t>R7-P0-09</t>
        </is>
      </c>
      <c r="B10" s="14" t="inlineStr">
        <is>
          <t>P0</t>
        </is>
      </c>
      <c r="C10" s="14" t="inlineStr">
        <is>
          <t>Scénarios</t>
        </is>
      </c>
      <c r="D10" s="14" t="inlineStr">
        <is>
          <t>#11</t>
        </is>
      </c>
      <c r="E10" s="14" t="inlineStr">
        <is>
          <t>Le changement de scénario ne modifie pas le prévisionnel</t>
        </is>
      </c>
      <c r="F10" s="14" t="inlineStr">
        <is>
          <t>Anomalie</t>
        </is>
      </c>
      <c r="G10" s="14" t="inlineStr">
        <is>
          <t>KO majeur</t>
        </is>
      </c>
      <c r="H10" s="14" t="inlineStr">
        <is>
          <t>À corriger</t>
        </is>
      </c>
      <c r="I10" s="14" t="inlineStr">
        <is>
          <t>R7.1</t>
        </is>
      </c>
      <c r="J10" s="14" t="str"/>
      <c r="K10" s="14" t="str"/>
      <c r="L10" s="14" t="str"/>
      <c r="M10" s="14" t="inlineStr">
        <is>
          <t>T27, T54-T61, T94</t>
        </is>
      </c>
      <c r="N10" s="14" t="inlineStr">
        <is>
          <t>Changer de scénario modifie réellement la courbe et les indicateurs.</t>
        </is>
      </c>
      <c r="O10" s="14" t="str"/>
    </row>
    <row r="11">
      <c r="A11" s="14" t="inlineStr">
        <is>
          <t>R7-P0-10</t>
        </is>
      </c>
      <c r="B11" s="14" t="inlineStr">
        <is>
          <t>P0</t>
        </is>
      </c>
      <c r="C11" s="14" t="inlineStr">
        <is>
          <t>Scénarios</t>
        </is>
      </c>
      <c r="D11" s="14" t="inlineStr">
        <is>
          <t>#21</t>
        </is>
      </c>
      <c r="E11" s="14" t="inlineStr">
        <is>
          <t>Calcul incohérent de l’impact des événements de scénario</t>
        </is>
      </c>
      <c r="F11" s="14" t="inlineStr">
        <is>
          <t>Anomalie</t>
        </is>
      </c>
      <c r="G11" s="14" t="inlineStr">
        <is>
          <t>KO ciblé</t>
        </is>
      </c>
      <c r="H11" s="14" t="inlineStr">
        <is>
          <t>À corriger</t>
        </is>
      </c>
      <c r="I11" s="14" t="inlineStr">
        <is>
          <t>R7.1</t>
        </is>
      </c>
      <c r="J11" s="14" t="str"/>
      <c r="K11" s="14" t="str"/>
      <c r="L11" s="14" t="str"/>
      <c r="M11" s="14" t="inlineStr">
        <is>
          <t>T58, T59, T60, T61, T27</t>
        </is>
      </c>
      <c r="N11" s="14" t="inlineStr">
        <is>
          <t>Les impacts trésorerie/patrimoine des événements sont cohérents, notamment achat d’actif.</t>
        </is>
      </c>
      <c r="O11" s="14" t="str"/>
    </row>
    <row r="12">
      <c r="A12" s="14" t="inlineStr">
        <is>
          <t>R7-P0-11</t>
        </is>
      </c>
      <c r="B12" s="14" t="inlineStr">
        <is>
          <t>P0</t>
        </is>
      </c>
      <c r="C12" s="14" t="inlineStr">
        <is>
          <t>Règles auto</t>
        </is>
      </c>
      <c r="D12" s="14" t="inlineStr">
        <is>
          <t>#12</t>
        </is>
      </c>
      <c r="E12" s="14" t="inlineStr">
        <is>
          <t>Impossible d’appliquer manuellement les règles de catégorisation automatique</t>
        </is>
      </c>
      <c r="F12" s="14" t="inlineStr">
        <is>
          <t>Anomalie</t>
        </is>
      </c>
      <c r="G12" s="14" t="inlineStr">
        <is>
          <t>KO majeur</t>
        </is>
      </c>
      <c r="H12" s="14" t="inlineStr">
        <is>
          <t>À corriger</t>
        </is>
      </c>
      <c r="I12" s="14" t="inlineStr">
        <is>
          <t>R7.1</t>
        </is>
      </c>
      <c r="J12" s="14" t="str"/>
      <c r="K12" s="14" t="str"/>
      <c r="L12" s="14" t="str"/>
      <c r="M12" s="14" t="inlineStr">
        <is>
          <t>T35, T33-T37, T13-T16</t>
        </is>
      </c>
      <c r="N12" s="14" t="inlineStr">
        <is>
          <t>Une règle peut être appliquée manuellement aux transactions concernées.</t>
        </is>
      </c>
      <c r="O12" s="14" t="str"/>
    </row>
    <row r="13">
      <c r="A13" s="14" t="inlineStr">
        <is>
          <t>R7-P0-12</t>
        </is>
      </c>
      <c r="B13" s="14" t="inlineStr">
        <is>
          <t>P0</t>
        </is>
      </c>
      <c r="C13" s="14" t="inlineStr">
        <is>
          <t>Règles auto</t>
        </is>
      </c>
      <c r="D13" s="14" t="inlineStr">
        <is>
          <t>#9</t>
        </is>
      </c>
      <c r="E13" s="14" t="inlineStr">
        <is>
          <t>Création d’une règle depuis une transaction impossible</t>
        </is>
      </c>
      <c r="F13" s="14" t="inlineStr">
        <is>
          <t>Anomalie</t>
        </is>
      </c>
      <c r="G13" s="14" t="inlineStr">
        <is>
          <t>KO majeur / rafraîchissement</t>
        </is>
      </c>
      <c r="H13" s="14" t="inlineStr">
        <is>
          <t>À corriger</t>
        </is>
      </c>
      <c r="I13" s="14" t="inlineStr">
        <is>
          <t>R7.1</t>
        </is>
      </c>
      <c r="J13" s="14" t="str"/>
      <c r="K13" s="14" t="str"/>
      <c r="L13" s="14" t="str"/>
      <c r="M13" s="14" t="inlineStr">
        <is>
          <t>Test clic droit, T33-T37</t>
        </is>
      </c>
      <c r="N13" s="14" t="inlineStr">
        <is>
          <t>Une règle créée depuis une transaction apparaît immédiatement et peut être appliquée.</t>
        </is>
      </c>
      <c r="O13" s="14" t="str"/>
    </row>
    <row r="14">
      <c r="A14" s="14" t="inlineStr">
        <is>
          <t>R7-P1-01</t>
        </is>
      </c>
      <c r="B14" s="14" t="inlineStr">
        <is>
          <t>P1</t>
        </is>
      </c>
      <c r="C14" s="14" t="inlineStr">
        <is>
          <t>Sécurité / sauvegarde</t>
        </is>
      </c>
      <c r="D14" s="14" t="inlineStr">
        <is>
          <t>#28</t>
        </is>
      </c>
      <c r="E14" s="14" t="inlineStr">
        <is>
          <t>Incohérence entre sauvegarde chiffrée et audit sécurité</t>
        </is>
      </c>
      <c r="F14" s="14" t="inlineStr">
        <is>
          <t>Anomalie</t>
        </is>
      </c>
      <c r="G14" s="14" t="inlineStr">
        <is>
          <t>OK affichage / KO cohérence</t>
        </is>
      </c>
      <c r="H14" s="14" t="inlineStr">
        <is>
          <t>À corriger</t>
        </is>
      </c>
      <c r="I14" s="14" t="inlineStr">
        <is>
          <t>R7.2</t>
        </is>
      </c>
      <c r="J14" s="14" t="str"/>
      <c r="K14" s="14" t="str"/>
      <c r="L14" s="14" t="str"/>
      <c r="M14" s="14" t="inlineStr">
        <is>
          <t>T75, T76, T77, T78, T82</t>
        </is>
      </c>
      <c r="N14" s="14" t="inlineStr">
        <is>
          <t>L’audit reflète correctement les sauvegardes chiffrées créées/restaurées.</t>
        </is>
      </c>
      <c r="O14" s="14" t="str"/>
    </row>
    <row r="15">
      <c r="A15" s="14" t="inlineStr">
        <is>
          <t>R7-P1-02</t>
        </is>
      </c>
      <c r="B15" s="14" t="inlineStr">
        <is>
          <t>P1</t>
        </is>
      </c>
      <c r="C15" s="14" t="inlineStr">
        <is>
          <t>Performance</t>
        </is>
      </c>
      <c r="D15" s="14" t="inlineStr">
        <is>
          <t>#19</t>
        </is>
      </c>
      <c r="E15" s="14" t="inlineStr">
        <is>
          <t>Latence importante lors des changements d’écrans et du chargement des graphiques</t>
        </is>
      </c>
      <c r="F15" s="14" t="inlineStr">
        <is>
          <t>Performance</t>
        </is>
      </c>
      <c r="G15" s="14" t="inlineStr">
        <is>
          <t>Réserve importante</t>
        </is>
      </c>
      <c r="H15" s="14" t="inlineStr">
        <is>
          <t>À corriger</t>
        </is>
      </c>
      <c r="I15" s="14" t="inlineStr">
        <is>
          <t>R7.2</t>
        </is>
      </c>
      <c r="J15" s="14" t="str"/>
      <c r="K15" s="14" t="str"/>
      <c r="L15" s="14" t="str"/>
      <c r="M15" s="14" t="inlineStr">
        <is>
          <t>Dashboard, navigation modules</t>
        </is>
      </c>
      <c r="N15" s="14" t="inlineStr">
        <is>
          <t>Les temps de chargement sont réduits ou accompagnés d’un indicateur visuel.</t>
        </is>
      </c>
      <c r="O15" s="14" t="str"/>
    </row>
    <row r="16">
      <c r="A16" s="14" t="inlineStr">
        <is>
          <t>R7-P1-03</t>
        </is>
      </c>
      <c r="B16" s="14" t="inlineStr">
        <is>
          <t>P1</t>
        </is>
      </c>
      <c r="C16" s="14" t="inlineStr">
        <is>
          <t>Rapprochements</t>
        </is>
      </c>
      <c r="D16" s="14" t="inlineStr">
        <is>
          <t>#13</t>
        </is>
      </c>
      <c r="E16" s="14" t="inlineStr">
        <is>
          <t>Colonnes tronquées dans l’écran Rapprochements</t>
        </is>
      </c>
      <c r="F16" s="14" t="inlineStr">
        <is>
          <t>Anomalie UX</t>
        </is>
      </c>
      <c r="G16" s="14" t="inlineStr">
        <is>
          <t>OK avec réserve UX</t>
        </is>
      </c>
      <c r="H16" s="14" t="inlineStr">
        <is>
          <t>À corriger</t>
        </is>
      </c>
      <c r="I16" s="14" t="inlineStr">
        <is>
          <t>R7.2</t>
        </is>
      </c>
      <c r="J16" s="14" t="str"/>
      <c r="K16" s="14" t="str"/>
      <c r="L16" s="14" t="str"/>
      <c r="M16" s="14" t="inlineStr">
        <is>
          <t>T43, T46, T47</t>
        </is>
      </c>
      <c r="N16" s="14" t="inlineStr">
        <is>
          <t>Les colonnes sont lisibles, alignées et exploitables.</t>
        </is>
      </c>
      <c r="O16" s="14" t="str"/>
    </row>
    <row r="17">
      <c r="A17" s="14" t="inlineStr">
        <is>
          <t>R7-P1-04</t>
        </is>
      </c>
      <c r="B17" s="14" t="inlineStr">
        <is>
          <t>P1</t>
        </is>
      </c>
      <c r="C17" s="14" t="inlineStr">
        <is>
          <t>Budget</t>
        </is>
      </c>
      <c r="D17" s="14" t="inlineStr">
        <is>
          <t>#32</t>
        </is>
      </c>
      <c r="E17" s="14" t="inlineStr">
        <is>
          <t>Le bouton Ajouter / modifier un budget ne permet pas clairement de modifier un budget existant</t>
        </is>
      </c>
      <c r="F17" s="14" t="inlineStr">
        <is>
          <t>Anomalie UX</t>
        </is>
      </c>
      <c r="G17" s="14" t="inlineStr">
        <is>
          <t>OK création / KO UX modification</t>
        </is>
      </c>
      <c r="H17" s="14" t="inlineStr">
        <is>
          <t>À corriger</t>
        </is>
      </c>
      <c r="I17" s="14" t="inlineStr">
        <is>
          <t>R7.2</t>
        </is>
      </c>
      <c r="J17" s="14" t="str"/>
      <c r="K17" s="14" t="str"/>
      <c r="L17" s="14" t="str"/>
      <c r="M17" s="14" t="inlineStr">
        <is>
          <t>T88, T89, T93</t>
        </is>
      </c>
      <c r="N17" s="14" t="inlineStr">
        <is>
          <t>Le libellé ou le parcours de modification est clarifié.</t>
        </is>
      </c>
      <c r="O17" s="14" t="str"/>
    </row>
    <row r="18">
      <c r="A18" s="14" t="inlineStr">
        <is>
          <t>R7-P1-05</t>
        </is>
      </c>
      <c r="B18" s="14" t="inlineStr">
        <is>
          <t>P1</t>
        </is>
      </c>
      <c r="C18" s="14" t="inlineStr">
        <is>
          <t>Paramètres</t>
        </is>
      </c>
      <c r="D18" s="14" t="inlineStr">
        <is>
          <t>#30</t>
        </is>
      </c>
      <c r="E18" s="14" t="inlineStr">
        <is>
          <t>Clarifier et enrichir l’onglet Maintenance</t>
        </is>
      </c>
      <c r="F18" s="14" t="inlineStr">
        <is>
          <t>Amélioration</t>
        </is>
      </c>
      <c r="G18" s="14" t="inlineStr">
        <is>
          <t>OK affichage / réserve fonctionnelle</t>
        </is>
      </c>
      <c r="H18" s="14" t="inlineStr">
        <is>
          <t>À corriger</t>
        </is>
      </c>
      <c r="I18" s="14" t="inlineStr">
        <is>
          <t>R7.2</t>
        </is>
      </c>
      <c r="J18" s="14" t="str"/>
      <c r="K18" s="14" t="str"/>
      <c r="L18" s="14" t="str"/>
      <c r="M18" s="14" t="inlineStr">
        <is>
          <t>T80</t>
        </is>
      </c>
      <c r="N18" s="14" t="inlineStr">
        <is>
          <t>L’onglet Maintenance est clarifié ou enrichi sans doublon inutile.</t>
        </is>
      </c>
      <c r="O18" s="14" t="str"/>
    </row>
    <row r="19">
      <c r="A19" s="14" t="inlineStr">
        <is>
          <t>R7-P1-06</t>
        </is>
      </c>
      <c r="B19" s="14" t="inlineStr">
        <is>
          <t>P1</t>
        </is>
      </c>
      <c r="C19" s="14" t="inlineStr">
        <is>
          <t>Paramètres</t>
        </is>
      </c>
      <c r="D19" s="14" t="inlineStr">
        <is>
          <t>#29</t>
        </is>
      </c>
      <c r="E19" s="14" t="inlineStr">
        <is>
          <t>Supprimer ou masquer l’onglet Charts réels des paramètres</t>
        </is>
      </c>
      <c r="F19" s="14" t="inlineStr">
        <is>
          <t>Amélioration UX</t>
        </is>
      </c>
      <c r="G19" s="14" t="inlineStr">
        <is>
          <t>OK avec réserve UX</t>
        </is>
      </c>
      <c r="H19" s="14" t="inlineStr">
        <is>
          <t>À corriger</t>
        </is>
      </c>
      <c r="I19" s="14" t="inlineStr">
        <is>
          <t>R7.2</t>
        </is>
      </c>
      <c r="J19" s="14" t="str"/>
      <c r="K19" s="14" t="str"/>
      <c r="L19" s="14" t="str"/>
      <c r="M19" s="14" t="inlineStr">
        <is>
          <t>T73</t>
        </is>
      </c>
      <c r="N19" s="14" t="inlineStr">
        <is>
          <t>L’onglet technique inutile est masqué, supprimé ou renommé clairement.</t>
        </is>
      </c>
      <c r="O19" s="14" t="str"/>
    </row>
    <row r="20">
      <c r="A20" s="14" t="inlineStr">
        <is>
          <t>R7-P2-01</t>
        </is>
      </c>
      <c r="B20" s="14" t="inlineStr">
        <is>
          <t>P2</t>
        </is>
      </c>
      <c r="C20" s="14" t="inlineStr">
        <is>
          <t>Sécurité locale</t>
        </is>
      </c>
      <c r="D20" s="14" t="str"/>
      <c r="E20" s="14" t="inlineStr">
        <is>
          <t>Permettre de paramétrer le délai de verrouillage automatique</t>
        </is>
      </c>
      <c r="F20" s="14" t="inlineStr">
        <is>
          <t>Amélioration UX</t>
        </is>
      </c>
      <c r="G20" s="14" t="inlineStr">
        <is>
          <t>OK avec réserve UX</t>
        </is>
      </c>
      <c r="H20" s="14" t="inlineStr">
        <is>
          <t>À corriger</t>
        </is>
      </c>
      <c r="I20" s="14" t="inlineStr">
        <is>
          <t>R7.3</t>
        </is>
      </c>
      <c r="J20" s="14" t="str"/>
      <c r="K20" s="14" t="str"/>
      <c r="L20" s="14" t="str"/>
      <c r="M20" s="14" t="inlineStr">
        <is>
          <t>T86</t>
        </is>
      </c>
      <c r="N20" s="14" t="inlineStr">
        <is>
          <t>Le délai de verrouillage est configurable dans les paramètres.</t>
        </is>
      </c>
      <c r="O20" s="14" t="str"/>
    </row>
    <row r="21">
      <c r="A21" s="14" t="inlineStr">
        <is>
          <t>R7-P2-02</t>
        </is>
      </c>
      <c r="B21" s="14" t="inlineStr">
        <is>
          <t>P2</t>
        </is>
      </c>
      <c r="C21" s="14" t="inlineStr">
        <is>
          <t>Rapprochements</t>
        </is>
      </c>
      <c r="D21" s="14" t="str"/>
      <c r="E21" s="14" t="inlineStr">
        <is>
          <t>Filtrer les rapprochements par statut et masquer les lignes traitées</t>
        </is>
      </c>
      <c r="F21" s="14" t="inlineStr">
        <is>
          <t>Amélioration UX</t>
        </is>
      </c>
      <c r="G21" s="14" t="inlineStr">
        <is>
          <t>OK avec réserve UX</t>
        </is>
      </c>
      <c r="H21" s="14" t="inlineStr">
        <is>
          <t>À corriger</t>
        </is>
      </c>
      <c r="I21" s="14" t="inlineStr">
        <is>
          <t>R7.3</t>
        </is>
      </c>
      <c r="J21" s="14" t="str"/>
      <c r="K21" s="14" t="str"/>
      <c r="L21" s="14" t="str"/>
      <c r="M21" s="14" t="inlineStr">
        <is>
          <t>T46, T47</t>
        </is>
      </c>
      <c r="N21" s="14" t="inlineStr">
        <is>
          <t>Les lignes peuvent être filtrées par statut de façon cohérente.</t>
        </is>
      </c>
      <c r="O21" s="14" t="str"/>
    </row>
    <row r="22">
      <c r="A22" s="14" t="inlineStr">
        <is>
          <t>R7-P2-03</t>
        </is>
      </c>
      <c r="B22" s="14" t="inlineStr">
        <is>
          <t>P2</t>
        </is>
      </c>
      <c r="C22" s="14" t="inlineStr">
        <is>
          <t>Patrimoine</t>
        </is>
      </c>
      <c r="D22" s="14" t="str"/>
      <c r="E22" s="14" t="inlineStr">
        <is>
          <t>Enrichir la synthèse intelligente du patrimoine</t>
        </is>
      </c>
      <c r="F22" s="14" t="inlineStr">
        <is>
          <t>Amélioration UX</t>
        </is>
      </c>
      <c r="G22" s="14" t="inlineStr">
        <is>
          <t>OK affichage / réserve contenu</t>
        </is>
      </c>
      <c r="H22" s="14" t="inlineStr">
        <is>
          <t>À corriger</t>
        </is>
      </c>
      <c r="I22" s="14" t="inlineStr">
        <is>
          <t>R7.3</t>
        </is>
      </c>
      <c r="J22" s="14" t="str"/>
      <c r="K22" s="14" t="str"/>
      <c r="L22" s="14" t="str"/>
      <c r="M22" s="14" t="inlineStr">
        <is>
          <t>T70</t>
        </is>
      </c>
      <c r="N22" s="14" t="inlineStr">
        <is>
          <t>La synthèse apporte des informations utiles et actionnables.</t>
        </is>
      </c>
      <c r="O22" s="14" t="str"/>
    </row>
    <row r="23">
      <c r="A23" s="14" t="inlineStr">
        <is>
          <t>R7-P2-04</t>
        </is>
      </c>
      <c r="B23" s="14" t="inlineStr">
        <is>
          <t>P2</t>
        </is>
      </c>
      <c r="C23" s="14" t="inlineStr">
        <is>
          <t>Scénarios</t>
        </is>
      </c>
      <c r="D23" s="14" t="str"/>
      <c r="E23" s="14" t="inlineStr">
        <is>
          <t>Harmoniser l’affichage des listes de l’écran Scénarios</t>
        </is>
      </c>
      <c r="F23" s="14" t="inlineStr">
        <is>
          <t>Amélioration UX</t>
        </is>
      </c>
      <c r="G23" s="14" t="inlineStr">
        <is>
          <t>OK avec réserve UX</t>
        </is>
      </c>
      <c r="H23" s="14" t="inlineStr">
        <is>
          <t>À corriger</t>
        </is>
      </c>
      <c r="I23" s="14" t="inlineStr">
        <is>
          <t>R7.3</t>
        </is>
      </c>
      <c r="J23" s="14" t="str"/>
      <c r="K23" s="14" t="str"/>
      <c r="L23" s="14" t="str"/>
      <c r="M23" s="14" t="inlineStr">
        <is>
          <t>T57, T59, T60</t>
        </is>
      </c>
      <c r="N23" s="14" t="inlineStr">
        <is>
          <t>Les listes de scénarios sont lisibles et harmonisées avec le reste de l’app.</t>
        </is>
      </c>
      <c r="O23" s="14" t="str"/>
    </row>
  </sheetData>
  <conditionalFormatting sqref="B2:B200">
    <cfRule type="expression" priority="1" dxfId="0">
      <formula>B2="P0"</formula>
    </cfRule>
    <cfRule type="expression" priority="2" dxfId="1">
      <formula>B2="P1"</formula>
    </cfRule>
    <cfRule type="expression" priority="3" dxfId="2">
      <formula>B2="P2"</formula>
    </cfRule>
  </conditionalFormatting>
  <conditionalFormatting sqref="H2:H200">
    <cfRule type="expression" priority="4" dxfId="3">
      <formula>H2="À corriger"</formula>
    </cfRule>
    <cfRule type="expression" priority="5" dxfId="4">
      <formula>H2="Corrigée"</formula>
    </cfRule>
    <cfRule type="expression" priority="6" dxfId="5">
      <formula>H2="À retester"</formula>
    </cfRule>
    <cfRule type="expression" priority="7" dxfId="2">
      <formula>H2="En cours"</formula>
    </cfRule>
  </conditionalFormatting>
  <dataValidations count="3">
    <dataValidation sqref="B2:B200" showDropDown="0" showInputMessage="0" showErrorMessage="0" allowBlank="0" type="list">
      <formula1>"P0,P1,P2"</formula1>
    </dataValidation>
    <dataValidation sqref="H2:H200" showDropDown="0" showInputMessage="0" showErrorMessage="0" allowBlank="0" type="list">
      <formula1>"À corriger,En cours,Corrigée,À retester,Requalifiée,Clôturée,Reportée"</formula1>
    </dataValidation>
    <dataValidation sqref="I2:I200" showDropDown="0" showInputMessage="0" showErrorMessage="0" allowBlank="0" type="list">
      <formula1>"R7.1,R7.2,R7.3"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34" customWidth="1" min="5" max="5"/>
    <col width="28" customWidth="1" min="6" max="6"/>
    <col width="50" customWidth="1" min="7" max="7"/>
    <col width="50" customWidth="1" min="8" max="8"/>
    <col width="18" customWidth="1" min="9" max="9"/>
    <col width="18" customWidth="1" min="10" max="10"/>
    <col width="20" customWidth="1" min="11" max="11"/>
    <col width="14" customWidth="1" min="12" max="12"/>
    <col width="14" customWidth="1" min="13" max="13"/>
    <col width="28" customWidth="1" min="14" max="14"/>
  </cols>
  <sheetData>
    <row r="1" ht="26" customHeight="1">
      <c r="A1" s="6" t="inlineStr">
        <is>
          <t>ID test</t>
        </is>
      </c>
      <c r="B1" s="6" t="inlineStr">
        <is>
          <t>Priorité</t>
        </is>
      </c>
      <c r="C1" s="6" t="inlineStr">
        <is>
          <t>Module</t>
        </is>
      </c>
      <c r="D1" s="6" t="inlineStr">
        <is>
          <t>Issue liée</t>
        </is>
      </c>
      <c r="E1" s="6" t="inlineStr">
        <is>
          <t>Objectif du test</t>
        </is>
      </c>
      <c r="F1" s="6" t="inlineStr">
        <is>
          <t>Préconditions</t>
        </is>
      </c>
      <c r="G1" s="6" t="inlineStr">
        <is>
          <t>Étapes de test</t>
        </is>
      </c>
      <c r="H1" s="6" t="inlineStr">
        <is>
          <t>Résultat attendu</t>
        </is>
      </c>
      <c r="I1" s="6" t="inlineStr">
        <is>
          <t>Statut R6.1</t>
        </is>
      </c>
      <c r="J1" s="6" t="inlineStr">
        <is>
          <t>Résultat R7.1</t>
        </is>
      </c>
      <c r="K1" s="6" t="inlineStr">
        <is>
          <t>Statut après correction</t>
        </is>
      </c>
      <c r="L1" s="6" t="inlineStr">
        <is>
          <t>Testeur</t>
        </is>
      </c>
      <c r="M1" s="6" t="inlineStr">
        <is>
          <t>Date test</t>
        </is>
      </c>
      <c r="N1" s="6" t="inlineStr">
        <is>
          <t>Commentaire</t>
        </is>
      </c>
    </row>
    <row r="2">
      <c r="A2" s="14" t="inlineStr">
        <is>
          <t>R7.1-TX-01</t>
        </is>
      </c>
      <c r="B2" s="14" t="inlineStr">
        <is>
          <t>P0</t>
        </is>
      </c>
      <c r="C2" s="14" t="inlineStr">
        <is>
          <t>Transactions</t>
        </is>
      </c>
      <c r="D2" s="14" t="inlineStr">
        <is>
          <t>#2</t>
        </is>
      </c>
      <c r="E2" s="14" t="inlineStr">
        <is>
          <t>Modifier une transaction complète</t>
        </is>
      </c>
      <c r="F2" s="14" t="inlineStr">
        <is>
          <t>Transaction existante créée</t>
        </is>
      </c>
      <c r="G2" s="14" t="inlineStr">
        <is>
          <t>Modifier date, libellé, montant, compte, type, catégorie, statut puis enregistrer.</t>
        </is>
      </c>
      <c r="H2" s="14" t="inlineStr">
        <is>
          <t>Tous les champs sont modifiés et visibles immédiatement.</t>
        </is>
      </c>
      <c r="I2" s="14" t="inlineStr">
        <is>
          <t>KO</t>
        </is>
      </c>
      <c r="J2" s="14" t="inlineStr">
        <is>
          <t>OK</t>
        </is>
      </c>
      <c r="K2" s="14" t="inlineStr">
        <is>
          <t>Validé</t>
        </is>
      </c>
      <c r="L2" s="14" t="inlineStr">
        <is>
          <t>François</t>
        </is>
      </c>
      <c r="M2" s="14" t="inlineStr">
        <is>
          <t>2026-07-19</t>
        </is>
      </c>
      <c r="N2" s="14" t="inlineStr">
        <is>
          <t>Modification complète OK</t>
        </is>
      </c>
    </row>
    <row r="3">
      <c r="A3" s="14" t="inlineStr">
        <is>
          <t>R7.1-TX-02</t>
        </is>
      </c>
      <c r="B3" s="14" t="inlineStr">
        <is>
          <t>P0</t>
        </is>
      </c>
      <c r="C3" s="14" t="inlineStr">
        <is>
          <t>Transactions</t>
        </is>
      </c>
      <c r="D3" s="14" t="inlineStr">
        <is>
          <t>#2</t>
        </is>
      </c>
      <c r="E3" s="14" t="inlineStr">
        <is>
          <t>Vérifier impact compte après modification</t>
        </is>
      </c>
      <c r="F3" s="14" t="inlineStr">
        <is>
          <t>Transaction modifiée</t>
        </is>
      </c>
      <c r="G3" s="14" t="inlineStr">
        <is>
          <t>Changer le montant puis contrôler solde compte et dashboard.</t>
        </is>
      </c>
      <c r="H3" s="14" t="inlineStr">
        <is>
          <t>Le solde et les KPIs se recalculent correctement.</t>
        </is>
      </c>
      <c r="I3" s="14" t="inlineStr">
        <is>
          <t>KO lié</t>
        </is>
      </c>
      <c r="J3" s="14" t="inlineStr">
        <is>
          <t>OK</t>
        </is>
      </c>
      <c r="K3" s="14" t="inlineStr">
        <is>
          <t>Validé</t>
        </is>
      </c>
      <c r="L3" s="14" t="inlineStr">
        <is>
          <t>François</t>
        </is>
      </c>
      <c r="M3" s="14" t="inlineStr">
        <is>
          <t>2026-07-19</t>
        </is>
      </c>
      <c r="N3" s="14" t="inlineStr">
        <is>
          <t>Impact Budget et Comptes OK</t>
        </is>
      </c>
    </row>
    <row r="4">
      <c r="A4" s="14" t="inlineStr">
        <is>
          <t>R7.1-TX-03</t>
        </is>
      </c>
      <c r="B4" s="14" t="inlineStr">
        <is>
          <t>P0</t>
        </is>
      </c>
      <c r="C4" s="14" t="inlineStr">
        <is>
          <t>Budget</t>
        </is>
      </c>
      <c r="D4" s="14" t="inlineStr">
        <is>
          <t>#2</t>
        </is>
      </c>
      <c r="E4" s="14" t="inlineStr">
        <is>
          <t>Vérifier impact Budget réalisé après modification</t>
        </is>
      </c>
      <c r="F4" s="14" t="inlineStr">
        <is>
          <t>Transaction catégorisée dans le mois courant</t>
        </is>
      </c>
      <c r="G4" s="14" t="inlineStr">
        <is>
          <t>Modifier montant/catégorie d’une transaction puis ouvrir Budget.</t>
        </is>
      </c>
      <c r="H4" s="14" t="inlineStr">
        <is>
          <t>Le réalisé de la catégorie et les totaux Budget sont recalculés.</t>
        </is>
      </c>
      <c r="I4" s="14" t="inlineStr">
        <is>
          <t>À sécuriser</t>
        </is>
      </c>
      <c r="J4" s="14" t="inlineStr">
        <is>
          <t>OK</t>
        </is>
      </c>
      <c r="K4" s="14" t="inlineStr">
        <is>
          <t>Validé</t>
        </is>
      </c>
      <c r="L4" s="14" t="inlineStr">
        <is>
          <t>François</t>
        </is>
      </c>
      <c r="M4" s="14" t="inlineStr">
        <is>
          <t>2026-07-19</t>
        </is>
      </c>
      <c r="N4" s="14" t="inlineStr">
        <is>
          <t>Persistance après redémarrage OK</t>
        </is>
      </c>
    </row>
    <row r="5">
      <c r="A5" s="14" t="inlineStr">
        <is>
          <t>R7.1-PAT-01</t>
        </is>
      </c>
      <c r="B5" s="14" t="inlineStr">
        <is>
          <t>P0</t>
        </is>
      </c>
      <c r="C5" s="14" t="inlineStr">
        <is>
          <t>Patrimoine</t>
        </is>
      </c>
      <c r="D5" s="14" t="inlineStr">
        <is>
          <t>#23</t>
        </is>
      </c>
      <c r="E5" s="14" t="inlineStr">
        <is>
          <t>Modifier un actif patrimonial</t>
        </is>
      </c>
      <c r="F5" s="14" t="inlineStr">
        <is>
          <t>Actif existant</t>
        </is>
      </c>
      <c r="G5" s="14" t="inlineStr">
        <is>
          <t>Sélectionner un actif, modifier valeur, libellé ou catégorie, enregistrer.</t>
        </is>
      </c>
      <c r="H5" s="14" t="inlineStr">
        <is>
          <t>L’actif est modifié et les indicateurs se recalculent.</t>
        </is>
      </c>
      <c r="I5" s="14" t="inlineStr">
        <is>
          <t>KO</t>
        </is>
      </c>
      <c r="J5" s="14" t="inlineStr">
        <is>
          <t>OK</t>
        </is>
      </c>
      <c r="K5" s="14" t="inlineStr">
        <is>
          <t>Validé</t>
        </is>
      </c>
      <c r="L5" s="14" t="inlineStr">
        <is>
          <t>François</t>
        </is>
      </c>
      <c r="M5" s="14" t="inlineStr">
        <is>
          <t>2026-07-19</t>
        </is>
      </c>
      <c r="N5" s="14" t="inlineStr">
        <is>
          <t>OK avec réserve UX : menu contextuel homogène</t>
        </is>
      </c>
    </row>
    <row r="6">
      <c r="A6" s="14" t="inlineStr">
        <is>
          <t>R7.1-PAT-02</t>
        </is>
      </c>
      <c r="B6" s="14" t="inlineStr">
        <is>
          <t>P0</t>
        </is>
      </c>
      <c r="C6" s="14" t="inlineStr">
        <is>
          <t>Patrimoine</t>
        </is>
      </c>
      <c r="D6" s="14" t="inlineStr">
        <is>
          <t>#23</t>
        </is>
      </c>
      <c r="E6" s="14" t="inlineStr">
        <is>
          <t>Supprimer un actif patrimonial</t>
        </is>
      </c>
      <c r="F6" s="14" t="inlineStr">
        <is>
          <t>Actif de test existant</t>
        </is>
      </c>
      <c r="G6" s="14" t="inlineStr">
        <is>
          <t>Sélectionner un actif de test puis supprimer.</t>
        </is>
      </c>
      <c r="H6" s="14" t="inlineStr">
        <is>
          <t>L’actif disparaît et les indicateurs se recalculent.</t>
        </is>
      </c>
      <c r="I6" s="14" t="inlineStr">
        <is>
          <t>KO</t>
        </is>
      </c>
      <c r="J6" s="14" t="inlineStr">
        <is>
          <t>OK</t>
        </is>
      </c>
      <c r="K6" s="14" t="inlineStr">
        <is>
          <t>Validé</t>
        </is>
      </c>
      <c r="L6" s="14" t="inlineStr">
        <is>
          <t>François</t>
        </is>
      </c>
      <c r="M6" s="14" t="inlineStr">
        <is>
          <t>2026-07-19</t>
        </is>
      </c>
      <c r="N6" s="14" t="inlineStr">
        <is>
          <t>Passif correctement classé</t>
        </is>
      </c>
    </row>
    <row r="7">
      <c r="A7" s="14" t="inlineStr">
        <is>
          <t>R7.1-PAT-03</t>
        </is>
      </c>
      <c r="B7" s="14" t="inlineStr">
        <is>
          <t>P0</t>
        </is>
      </c>
      <c r="C7" s="14" t="inlineStr">
        <is>
          <t>Patrimoine</t>
        </is>
      </c>
      <c r="D7" s="14" t="inlineStr">
        <is>
          <t>#24</t>
        </is>
      </c>
      <c r="E7" s="14" t="inlineStr">
        <is>
          <t>Créer un passif patrimonial</t>
        </is>
      </c>
      <c r="F7" s="14" t="inlineStr">
        <is>
          <t>Module Patrimoine accessible</t>
        </is>
      </c>
      <c r="G7" s="14" t="inlineStr">
        <is>
          <t>Créer un crédit/dette avec montant, type et statut.</t>
        </is>
      </c>
      <c r="H7" s="14" t="inlineStr">
        <is>
          <t>Le passif apparaît dans Passifs et non dans Actifs.</t>
        </is>
      </c>
      <c r="I7" s="14" t="inlineStr">
        <is>
          <t>KO</t>
        </is>
      </c>
      <c r="J7" s="14" t="inlineStr">
        <is>
          <t>OK</t>
        </is>
      </c>
      <c r="K7" s="14" t="inlineStr">
        <is>
          <t>Validé</t>
        </is>
      </c>
      <c r="L7" s="14" t="inlineStr">
        <is>
          <t>François</t>
        </is>
      </c>
      <c r="M7" s="14" t="inlineStr">
        <is>
          <t>2026-07-19</t>
        </is>
      </c>
      <c r="N7" s="14" t="inlineStr">
        <is>
          <t>Modification/suppression passif OK</t>
        </is>
      </c>
    </row>
    <row r="8">
      <c r="A8" s="14" t="inlineStr">
        <is>
          <t>R7.1-PAT-04</t>
        </is>
      </c>
      <c r="B8" s="14" t="inlineStr">
        <is>
          <t>P0</t>
        </is>
      </c>
      <c r="C8" s="14" t="inlineStr">
        <is>
          <t>Patrimoine</t>
        </is>
      </c>
      <c r="D8" s="14" t="inlineStr">
        <is>
          <t>#26</t>
        </is>
      </c>
      <c r="E8" s="14" t="inlineStr">
        <is>
          <t>Vérifier cohérence indicateurs</t>
        </is>
      </c>
      <c r="F8" s="14" t="inlineStr">
        <is>
          <t>Actifs et passifs créés</t>
        </is>
      </c>
      <c r="G8" s="14" t="inlineStr">
        <is>
          <t>Comparer total Actifs, total Passifs, Patrimoine net et listes détaillées.</t>
        </is>
      </c>
      <c r="H8" s="14" t="inlineStr">
        <is>
          <t>Patrimoine net = Actifs - Passifs.</t>
        </is>
      </c>
      <c r="I8" s="14" t="inlineStr">
        <is>
          <t>KO</t>
        </is>
      </c>
      <c r="J8" s="14" t="inlineStr">
        <is>
          <t>OK</t>
        </is>
      </c>
      <c r="K8" s="14" t="inlineStr">
        <is>
          <t>Validé</t>
        </is>
      </c>
      <c r="L8" s="14" t="inlineStr">
        <is>
          <t>François</t>
        </is>
      </c>
      <c r="M8" s="14" t="inlineStr">
        <is>
          <t>2026-07-19</t>
        </is>
      </c>
      <c r="N8" s="14" t="inlineStr">
        <is>
          <t>Cohérence indicateurs OK</t>
        </is>
      </c>
    </row>
    <row r="9">
      <c r="A9" s="14" t="inlineStr">
        <is>
          <t>R7.1-PAT-05</t>
        </is>
      </c>
      <c r="B9" s="14" t="inlineStr">
        <is>
          <t>P0</t>
        </is>
      </c>
      <c r="C9" s="14" t="inlineStr">
        <is>
          <t>Patrimoine</t>
        </is>
      </c>
      <c r="D9" s="14" t="inlineStr">
        <is>
          <t>#26</t>
        </is>
      </c>
      <c r="E9" s="14" t="inlineStr">
        <is>
          <t>Vérifier onglet Vue globale</t>
        </is>
      </c>
      <c r="F9" s="14" t="inlineStr">
        <is>
          <t>Données patrimoine présentes</t>
        </is>
      </c>
      <c r="G9" s="14" t="inlineStr">
        <is>
          <t>Contrôler cohérence entre cartes, graphiques, onglets Actifs/Passifs.</t>
        </is>
      </c>
      <c r="H9" s="14" t="inlineStr">
        <is>
          <t>Aucune incohérence de nature ou montant.</t>
        </is>
      </c>
      <c r="I9" s="14" t="inlineStr">
        <is>
          <t>KO</t>
        </is>
      </c>
      <c r="J9" s="14" t="inlineStr">
        <is>
          <t>OK</t>
        </is>
      </c>
      <c r="K9" s="14" t="inlineStr">
        <is>
          <t>Validé</t>
        </is>
      </c>
      <c r="L9" s="14" t="inlineStr">
        <is>
          <t>François</t>
        </is>
      </c>
      <c r="M9" s="14" t="inlineStr">
        <is>
          <t>2026-07-19</t>
        </is>
      </c>
      <c r="N9" s="14" t="inlineStr">
        <is>
          <t>OK avec réserve UX : ajouter date visible</t>
        </is>
      </c>
    </row>
    <row r="10">
      <c r="A10" s="14" t="inlineStr">
        <is>
          <t>R7.1-PAT-06</t>
        </is>
      </c>
      <c r="B10" s="14" t="inlineStr">
        <is>
          <t>P0</t>
        </is>
      </c>
      <c r="C10" s="14" t="inlineStr">
        <is>
          <t>Patrimoine</t>
        </is>
      </c>
      <c r="D10" s="14" t="inlineStr">
        <is>
          <t>#</t>
        </is>
      </c>
      <c r="E10" s="14" t="inlineStr">
        <is>
          <t>Vérifier évolution patrimoniale datée</t>
        </is>
      </c>
      <c r="F10" s="14" t="inlineStr">
        <is>
          <t>Historique valorisation disponible</t>
        </is>
      </c>
      <c r="G10" s="14" t="inlineStr">
        <is>
          <t>Ouvrir Évolution et contrôler dates/valeurs.</t>
        </is>
      </c>
      <c r="H10" s="14" t="inlineStr">
        <is>
          <t>L’évolution est vérifiable avec un historique daté.</t>
        </is>
      </c>
      <c r="I10" s="14" t="inlineStr">
        <is>
          <t>KO non vérifiable</t>
        </is>
      </c>
      <c r="J10" s="14" t="inlineStr">
        <is>
          <t>OK</t>
        </is>
      </c>
      <c r="K10" s="14" t="inlineStr">
        <is>
          <t>Validé</t>
        </is>
      </c>
      <c r="L10" s="14" t="inlineStr">
        <is>
          <t>François</t>
        </is>
      </c>
      <c r="M10" s="14" t="inlineStr">
        <is>
          <t>2026-07-19</t>
        </is>
      </c>
      <c r="N10" s="14" t="inlineStr">
        <is>
          <t>OK avec réserve UX : colonne historique tronquée</t>
        </is>
      </c>
    </row>
    <row r="11">
      <c r="A11" s="14" t="inlineStr">
        <is>
          <t>R7.1-PAT-07</t>
        </is>
      </c>
      <c r="B11" s="14" t="inlineStr">
        <is>
          <t>P0</t>
        </is>
      </c>
      <c r="C11" s="14" t="inlineStr">
        <is>
          <t>Patrimoine</t>
        </is>
      </c>
      <c r="D11" s="14" t="inlineStr">
        <is>
          <t>#</t>
        </is>
      </c>
      <c r="E11" s="14" t="inlineStr">
        <is>
          <t>Tester bouton Voir historique</t>
        </is>
      </c>
      <c r="F11" s="14" t="inlineStr">
        <is>
          <t>Synthèse intelligente ouverte</t>
        </is>
      </c>
      <c r="G11" s="14" t="inlineStr">
        <is>
          <t>Cliquer sur Voir historique.</t>
        </is>
      </c>
      <c r="H11" s="14" t="inlineStr">
        <is>
          <t>Un historique exploitable s’ouvre.</t>
        </is>
      </c>
      <c r="I11" s="14" t="inlineStr">
        <is>
          <t>KO</t>
        </is>
      </c>
      <c r="J11" s="14" t="inlineStr">
        <is>
          <t>OK</t>
        </is>
      </c>
      <c r="K11" s="14" t="inlineStr">
        <is>
          <t>Validé</t>
        </is>
      </c>
      <c r="L11" s="14" t="inlineStr">
        <is>
          <t>François</t>
        </is>
      </c>
      <c r="M11" s="14" t="inlineStr">
        <is>
          <t>2026-07-19</t>
        </is>
      </c>
      <c r="N11" s="14" t="inlineStr">
        <is>
          <t>Persistance Patrimoine OK</t>
        </is>
      </c>
    </row>
    <row r="12">
      <c r="A12" s="14" t="inlineStr">
        <is>
          <t>R7.1-RAP-01</t>
        </is>
      </c>
      <c r="B12" s="14" t="inlineStr">
        <is>
          <t>P0</t>
        </is>
      </c>
      <c r="C12" s="14" t="inlineStr">
        <is>
          <t>Rapprochements</t>
        </is>
      </c>
      <c r="D12" s="14" t="inlineStr">
        <is>
          <t>#15</t>
        </is>
      </c>
      <c r="E12" s="14" t="inlineStr">
        <is>
          <t>Transactions manuelles visibles</t>
        </is>
      </c>
      <c r="F12" s="14" t="inlineStr">
        <is>
          <t>Créer une transaction manuelle dans la période</t>
        </is>
      </c>
      <c r="G12" s="14" t="inlineStr">
        <is>
          <t>Ouvrir Rapprochements, sélectionner compte/période, générer.</t>
        </is>
      </c>
      <c r="H12" s="14" t="inlineStr">
        <is>
          <t>La transaction manuelle apparaît dans le volet adéquat.</t>
        </is>
      </c>
      <c r="I12" s="14" t="inlineStr">
        <is>
          <t>KO</t>
        </is>
      </c>
      <c r="J12" s="14" t="inlineStr">
        <is>
          <t>À rejouer</t>
        </is>
      </c>
      <c r="K12" s="14" t="inlineStr">
        <is>
          <t>À rejouer</t>
        </is>
      </c>
      <c r="L12" s="14" t="str"/>
      <c r="M12" s="14" t="str"/>
      <c r="N12" s="14" t="str"/>
    </row>
    <row r="13">
      <c r="A13" s="14" t="inlineStr">
        <is>
          <t>R7.1-RAP-02</t>
        </is>
      </c>
      <c r="B13" s="14" t="inlineStr">
        <is>
          <t>P0</t>
        </is>
      </c>
      <c r="C13" s="14" t="inlineStr">
        <is>
          <t>Rapprochements</t>
        </is>
      </c>
      <c r="D13" s="14" t="inlineStr">
        <is>
          <t>#15</t>
        </is>
      </c>
      <c r="E13" s="14" t="inlineStr">
        <is>
          <t>Rapprochement manuel transaction/occurrence</t>
        </is>
      </c>
      <c r="F13" s="14" t="inlineStr">
        <is>
          <t>Occurrence et transaction compatibles</t>
        </is>
      </c>
      <c r="G13" s="14" t="inlineStr">
        <is>
          <t>Cocher l’occurrence et la transaction puis rapprocher.</t>
        </is>
      </c>
      <c r="H13" s="14" t="inlineStr">
        <is>
          <t>Le statut devient Rapprochée manuellement et persiste.</t>
        </is>
      </c>
      <c r="I13" s="14" t="inlineStr">
        <is>
          <t>OK partiel</t>
        </is>
      </c>
      <c r="J13" s="14" t="inlineStr">
        <is>
          <t>À rejouer</t>
        </is>
      </c>
      <c r="K13" s="14" t="inlineStr">
        <is>
          <t>À rejouer</t>
        </is>
      </c>
      <c r="L13" s="14" t="str"/>
      <c r="M13" s="14" t="str"/>
      <c r="N13" s="14" t="str"/>
    </row>
    <row r="14">
      <c r="A14" s="14" t="inlineStr">
        <is>
          <t>R7.1-RAP-03</t>
        </is>
      </c>
      <c r="B14" s="14" t="inlineStr">
        <is>
          <t>P0</t>
        </is>
      </c>
      <c r="C14" s="14" t="inlineStr">
        <is>
          <t>Rapprochements</t>
        </is>
      </c>
      <c r="D14" s="14" t="inlineStr">
        <is>
          <t>#17</t>
        </is>
      </c>
      <c r="E14" s="14" t="inlineStr">
        <is>
          <t>Marquer les retards</t>
        </is>
      </c>
      <c r="F14" s="14" t="inlineStr">
        <is>
          <t>Occurrences passées non traitées</t>
        </is>
      </c>
      <c r="G14" s="14" t="inlineStr">
        <is>
          <t>Cliquer Marquer les retards puis filtrer En retard.</t>
        </is>
      </c>
      <c r="H14" s="14" t="inlineStr">
        <is>
          <t>Les lignes et compteurs En retard sont cohérents.</t>
        </is>
      </c>
      <c r="I14" s="14" t="inlineStr">
        <is>
          <t>KO</t>
        </is>
      </c>
      <c r="J14" s="14" t="inlineStr">
        <is>
          <t>À rejouer</t>
        </is>
      </c>
      <c r="K14" s="14" t="inlineStr">
        <is>
          <t>À rejouer</t>
        </is>
      </c>
      <c r="L14" s="14" t="str"/>
      <c r="M14" s="14" t="str"/>
      <c r="N14" s="14" t="str"/>
    </row>
    <row r="15">
      <c r="A15" s="14" t="inlineStr">
        <is>
          <t>R7.1-RAP-04</t>
        </is>
      </c>
      <c r="B15" s="14" t="inlineStr">
        <is>
          <t>P0</t>
        </is>
      </c>
      <c r="C15" s="14" t="inlineStr">
        <is>
          <t>Rapprochements</t>
        </is>
      </c>
      <c r="D15" s="14" t="inlineStr">
        <is>
          <t>#18</t>
        </is>
      </c>
      <c r="E15" s="14" t="inlineStr">
        <is>
          <t>Confirmer occurrence</t>
        </is>
      </c>
      <c r="F15" s="14" t="inlineStr">
        <is>
          <t>Occurrence prévue sélectionnée</t>
        </is>
      </c>
      <c r="G15" s="14" t="inlineStr">
        <is>
          <t>Cliquer Confirmer occurrence.</t>
        </is>
      </c>
      <c r="H15" s="14" t="inlineStr">
        <is>
          <t>Le statut change en Confirmée, compteur mis à jour, persistance OK.</t>
        </is>
      </c>
      <c r="I15" s="14" t="inlineStr">
        <is>
          <t>KO</t>
        </is>
      </c>
      <c r="J15" s="14" t="inlineStr">
        <is>
          <t>À rejouer</t>
        </is>
      </c>
      <c r="K15" s="14" t="inlineStr">
        <is>
          <t>À rejouer</t>
        </is>
      </c>
      <c r="L15" s="14" t="str"/>
      <c r="M15" s="14" t="str"/>
      <c r="N15" s="14" t="str"/>
    </row>
    <row r="16">
      <c r="A16" s="14" t="inlineStr">
        <is>
          <t>R7.1-RAP-05</t>
        </is>
      </c>
      <c r="B16" s="14" t="inlineStr">
        <is>
          <t>P0</t>
        </is>
      </c>
      <c r="C16" s="14" t="inlineStr">
        <is>
          <t>Rapprochements</t>
        </is>
      </c>
      <c r="D16" s="14" t="inlineStr">
        <is>
          <t>#18</t>
        </is>
      </c>
      <c r="E16" s="14" t="inlineStr">
        <is>
          <t>Persistance statuts rapprochements</t>
        </is>
      </c>
      <c r="F16" s="14" t="inlineStr">
        <is>
          <t>Statuts changés</t>
        </is>
      </c>
      <c r="G16" s="14" t="inlineStr">
        <is>
          <t>Changer d’écran, revenir, fermer/réouvrir l’app.</t>
        </is>
      </c>
      <c r="H16" s="14" t="inlineStr">
        <is>
          <t>Les statuts restent identiques.</t>
        </is>
      </c>
      <c r="I16" s="14" t="inlineStr">
        <is>
          <t>OK à confirmer</t>
        </is>
      </c>
      <c r="J16" s="14" t="inlineStr">
        <is>
          <t>À rejouer</t>
        </is>
      </c>
      <c r="K16" s="14" t="inlineStr">
        <is>
          <t>À rejouer</t>
        </is>
      </c>
      <c r="L16" s="14" t="str"/>
      <c r="M16" s="14" t="str"/>
      <c r="N16" s="14" t="str"/>
    </row>
    <row r="17">
      <c r="A17" s="14" t="inlineStr">
        <is>
          <t>R7.1-PREV-01</t>
        </is>
      </c>
      <c r="B17" s="14" t="inlineStr">
        <is>
          <t>P0</t>
        </is>
      </c>
      <c r="C17" s="14" t="inlineStr">
        <is>
          <t>Prévisionnel</t>
        </is>
      </c>
      <c r="D17" s="14" t="inlineStr">
        <is>
          <t>#10</t>
        </is>
      </c>
      <c r="E17" s="14" t="inlineStr">
        <is>
          <t>Créer un événement ponctuel</t>
        </is>
      </c>
      <c r="F17" s="14" t="inlineStr">
        <is>
          <t>Compte existant</t>
        </is>
      </c>
      <c r="G17" s="14" t="inlineStr">
        <is>
          <t>Créer un événement Ponctuel/Une seule fois daté avec montant.</t>
        </is>
      </c>
      <c r="H17" s="14" t="inlineStr">
        <is>
          <t>L’événement est créé sans récurrence.</t>
        </is>
      </c>
      <c r="I17" s="14" t="inlineStr">
        <is>
          <t>KO</t>
        </is>
      </c>
      <c r="J17" s="14" t="inlineStr">
        <is>
          <t>À rejouer</t>
        </is>
      </c>
      <c r="K17" s="14" t="inlineStr">
        <is>
          <t>À rejouer</t>
        </is>
      </c>
      <c r="L17" s="14" t="str"/>
      <c r="M17" s="14" t="str"/>
      <c r="N17" s="14" t="str"/>
    </row>
    <row r="18">
      <c r="A18" s="14" t="inlineStr">
        <is>
          <t>R7.1-PREV-02</t>
        </is>
      </c>
      <c r="B18" s="14" t="inlineStr">
        <is>
          <t>P0</t>
        </is>
      </c>
      <c r="C18" s="14" t="inlineStr">
        <is>
          <t>Prévisionnel</t>
        </is>
      </c>
      <c r="D18" s="14" t="inlineStr">
        <is>
          <t>#10</t>
        </is>
      </c>
      <c r="E18" s="14" t="inlineStr">
        <is>
          <t>Impact événement ponctuel dans courbe</t>
        </is>
      </c>
      <c r="F18" s="14" t="inlineStr">
        <is>
          <t>Événement ponctuel créé</t>
        </is>
      </c>
      <c r="G18" s="14" t="inlineStr">
        <is>
          <t>Ouvrir courbe prévisionnelle autour de la date.</t>
        </is>
      </c>
      <c r="H18" s="14" t="inlineStr">
        <is>
          <t>Le solde est impacté une seule fois au bon jour.</t>
        </is>
      </c>
      <c r="I18" s="14" t="inlineStr">
        <is>
          <t>Non testable</t>
        </is>
      </c>
      <c r="J18" s="14" t="inlineStr">
        <is>
          <t>À rejouer</t>
        </is>
      </c>
      <c r="K18" s="14" t="inlineStr">
        <is>
          <t>À rejouer</t>
        </is>
      </c>
      <c r="L18" s="14" t="str"/>
      <c r="M18" s="14" t="str"/>
      <c r="N18" s="14" t="str"/>
    </row>
    <row r="19">
      <c r="A19" s="14" t="inlineStr">
        <is>
          <t>R7.1-PREV-03</t>
        </is>
      </c>
      <c r="B19" s="14" t="inlineStr">
        <is>
          <t>P0</t>
        </is>
      </c>
      <c r="C19" s="14" t="inlineStr">
        <is>
          <t>Prévisionnel</t>
        </is>
      </c>
      <c r="D19" s="14" t="inlineStr">
        <is>
          <t>#10</t>
        </is>
      </c>
      <c r="E19" s="14" t="inlineStr">
        <is>
          <t>Modifier et supprimer événement ponctuel</t>
        </is>
      </c>
      <c r="F19" s="14" t="inlineStr">
        <is>
          <t>Événement ponctuel existant</t>
        </is>
      </c>
      <c r="G19" s="14" t="inlineStr">
        <is>
          <t>Modifier puis supprimer l’événement.</t>
        </is>
      </c>
      <c r="H19" s="14" t="inlineStr">
        <is>
          <t>Impact mis à jour puis supprimé de la courbe.</t>
        </is>
      </c>
      <c r="I19" s="14" t="inlineStr">
        <is>
          <t>Non testable</t>
        </is>
      </c>
      <c r="J19" s="14" t="inlineStr">
        <is>
          <t>À rejouer</t>
        </is>
      </c>
      <c r="K19" s="14" t="inlineStr">
        <is>
          <t>À rejouer</t>
        </is>
      </c>
      <c r="L19" s="14" t="str"/>
      <c r="M19" s="14" t="str"/>
      <c r="N19" s="14" t="str"/>
    </row>
    <row r="20">
      <c r="A20" s="14" t="inlineStr">
        <is>
          <t>R7.1-SCE-01</t>
        </is>
      </c>
      <c r="B20" s="14" t="inlineStr">
        <is>
          <t>P0</t>
        </is>
      </c>
      <c r="C20" s="14" t="inlineStr">
        <is>
          <t>Scénarios</t>
        </is>
      </c>
      <c r="D20" s="14" t="inlineStr">
        <is>
          <t>#11</t>
        </is>
      </c>
      <c r="E20" s="14" t="inlineStr">
        <is>
          <t>Changer de scénario dans Prévisionnel</t>
        </is>
      </c>
      <c r="F20" s="14" t="inlineStr">
        <is>
          <t>Au moins deux scénarios distincts</t>
        </is>
      </c>
      <c r="G20" s="14" t="inlineStr">
        <is>
          <t>Sélectionner différents scénarios dans Prévisionnel.</t>
        </is>
      </c>
      <c r="H20" s="14" t="inlineStr">
        <is>
          <t>La courbe et les KPIs changent réellement.</t>
        </is>
      </c>
      <c r="I20" s="14" t="inlineStr">
        <is>
          <t>KO</t>
        </is>
      </c>
      <c r="J20" s="14" t="inlineStr">
        <is>
          <t>À rejouer</t>
        </is>
      </c>
      <c r="K20" s="14" t="inlineStr">
        <is>
          <t>À rejouer</t>
        </is>
      </c>
      <c r="L20" s="14" t="str"/>
      <c r="M20" s="14" t="str"/>
      <c r="N20" s="14" t="str"/>
    </row>
    <row r="21">
      <c r="A21" s="14" t="inlineStr">
        <is>
          <t>R7.1-SCE-02</t>
        </is>
      </c>
      <c r="B21" s="14" t="inlineStr">
        <is>
          <t>P0</t>
        </is>
      </c>
      <c r="C21" s="14" t="inlineStr">
        <is>
          <t>Scénarios</t>
        </is>
      </c>
      <c r="D21" s="14" t="inlineStr">
        <is>
          <t>#21</t>
        </is>
      </c>
      <c r="E21" s="14" t="inlineStr">
        <is>
          <t>Impact sortie ponctuelle</t>
        </is>
      </c>
      <c r="F21" s="14" t="inlineStr">
        <is>
          <t>Scénario avec sortie ponctuelle</t>
        </is>
      </c>
      <c r="G21" s="14" t="inlineStr">
        <is>
          <t>Créer/sélectionner scénario avec dépense exceptionnelle.</t>
        </is>
      </c>
      <c r="H21" s="14" t="inlineStr">
        <is>
          <t>Trésorerie baisse, patrimoine cohérent.</t>
        </is>
      </c>
      <c r="I21" s="14" t="inlineStr">
        <is>
          <t>OK ciblé</t>
        </is>
      </c>
      <c r="J21" s="14" t="inlineStr">
        <is>
          <t>À rejouer</t>
        </is>
      </c>
      <c r="K21" s="14" t="inlineStr">
        <is>
          <t>À rejouer</t>
        </is>
      </c>
      <c r="L21" s="14" t="str"/>
      <c r="M21" s="14" t="str"/>
      <c r="N21" s="14" t="str"/>
    </row>
    <row r="22">
      <c r="A22" s="14" t="inlineStr">
        <is>
          <t>R7.1-SCE-03</t>
        </is>
      </c>
      <c r="B22" s="14" t="inlineStr">
        <is>
          <t>P0</t>
        </is>
      </c>
      <c r="C22" s="14" t="inlineStr">
        <is>
          <t>Scénarios</t>
        </is>
      </c>
      <c r="D22" s="14" t="inlineStr">
        <is>
          <t>#21</t>
        </is>
      </c>
      <c r="E22" s="14" t="inlineStr">
        <is>
          <t>Impact achat d’actif</t>
        </is>
      </c>
      <c r="F22" s="14" t="inlineStr">
        <is>
          <t>Scénario avec achat d’actif</t>
        </is>
      </c>
      <c r="G22" s="14" t="inlineStr">
        <is>
          <t>Créer achat d’actif de 30 000 € et analyser impacts.</t>
        </is>
      </c>
      <c r="H22" s="14" t="inlineStr">
        <is>
          <t>Trésorerie -30 000 €, actifs +30 000 €, patrimoine net cohérent.</t>
        </is>
      </c>
      <c r="I22" s="14" t="inlineStr">
        <is>
          <t>KO</t>
        </is>
      </c>
      <c r="J22" s="14" t="inlineStr">
        <is>
          <t>À rejouer</t>
        </is>
      </c>
      <c r="K22" s="14" t="inlineStr">
        <is>
          <t>À rejouer</t>
        </is>
      </c>
      <c r="L22" s="14" t="str"/>
      <c r="M22" s="14" t="str"/>
      <c r="N22" s="14" t="str"/>
    </row>
    <row r="23">
      <c r="A23" s="14" t="inlineStr">
        <is>
          <t>R7.1-SCE-04</t>
        </is>
      </c>
      <c r="B23" s="14" t="inlineStr">
        <is>
          <t>P0</t>
        </is>
      </c>
      <c r="C23" s="14" t="inlineStr">
        <is>
          <t>Scénarios</t>
        </is>
      </c>
      <c r="D23" s="14" t="inlineStr">
        <is>
          <t>#21</t>
        </is>
      </c>
      <c r="E23" s="14" t="inlineStr">
        <is>
          <t>Champ Durée avec fréquence Une fois</t>
        </is>
      </c>
      <c r="F23" s="14" t="inlineStr">
        <is>
          <t>Événement Une fois</t>
        </is>
      </c>
      <c r="G23" s="14" t="inlineStr">
        <is>
          <t>Vérifier le champ Durée.</t>
        </is>
      </c>
      <c r="H23" s="14" t="inlineStr">
        <is>
          <t>Durée masquée, désactivée ou indiquée Non applicable.</t>
        </is>
      </c>
      <c r="I23" s="14" t="inlineStr">
        <is>
          <t>Réserve UX</t>
        </is>
      </c>
      <c r="J23" s="14" t="inlineStr">
        <is>
          <t>À rejouer</t>
        </is>
      </c>
      <c r="K23" s="14" t="inlineStr">
        <is>
          <t>À rejouer</t>
        </is>
      </c>
      <c r="L23" s="14" t="str"/>
      <c r="M23" s="14" t="str"/>
      <c r="N23" s="14" t="str"/>
    </row>
    <row r="24">
      <c r="A24" s="14" t="inlineStr">
        <is>
          <t>R7.1-REG-01</t>
        </is>
      </c>
      <c r="B24" s="14" t="inlineStr">
        <is>
          <t>P0</t>
        </is>
      </c>
      <c r="C24" s="14" t="inlineStr">
        <is>
          <t>Règles auto</t>
        </is>
      </c>
      <c r="D24" s="14" t="inlineStr">
        <is>
          <t>#12</t>
        </is>
      </c>
      <c r="E24" s="14" t="inlineStr">
        <is>
          <t>Appliquer règles auto manuellement</t>
        </is>
      </c>
      <c r="F24" s="14" t="inlineStr">
        <is>
          <t>Règle active et transaction non catégorisée</t>
        </is>
      </c>
      <c r="G24" s="14" t="inlineStr">
        <is>
          <t>Cliquer Appliquer règles automatiques.</t>
        </is>
      </c>
      <c r="H24" s="14" t="inlineStr">
        <is>
          <t>Les transactions concernées sont catégorisées et un résumé apparaît.</t>
        </is>
      </c>
      <c r="I24" s="14" t="inlineStr">
        <is>
          <t>KO</t>
        </is>
      </c>
      <c r="J24" s="14" t="inlineStr">
        <is>
          <t>À rejouer</t>
        </is>
      </c>
      <c r="K24" s="14" t="inlineStr">
        <is>
          <t>À rejouer</t>
        </is>
      </c>
      <c r="L24" s="14" t="str"/>
      <c r="M24" s="14" t="str"/>
      <c r="N24" s="14" t="str"/>
    </row>
    <row r="25">
      <c r="A25" s="14" t="inlineStr">
        <is>
          <t>R7.1-REG-02</t>
        </is>
      </c>
      <c r="B25" s="14" t="inlineStr">
        <is>
          <t>P0</t>
        </is>
      </c>
      <c r="C25" s="14" t="inlineStr">
        <is>
          <t>Règles auto</t>
        </is>
      </c>
      <c r="D25" s="14" t="inlineStr">
        <is>
          <t>#12</t>
        </is>
      </c>
      <c r="E25" s="14" t="inlineStr">
        <is>
          <t>Appliquer règles sur sélection</t>
        </is>
      </c>
      <c r="F25" s="14" t="inlineStr">
        <is>
          <t>Plusieurs transactions sélectionnées</t>
        </is>
      </c>
      <c r="G25" s="14" t="inlineStr">
        <is>
          <t>Sélectionner des transactions puis appliquer les règles.</t>
        </is>
      </c>
      <c r="H25" s="14" t="inlineStr">
        <is>
          <t>Seules les transactions sélectionnées sont traitées.</t>
        </is>
      </c>
      <c r="I25" s="14" t="inlineStr">
        <is>
          <t>Non disponible</t>
        </is>
      </c>
      <c r="J25" s="14" t="inlineStr">
        <is>
          <t>À rejouer</t>
        </is>
      </c>
      <c r="K25" s="14" t="inlineStr">
        <is>
          <t>À rejouer</t>
        </is>
      </c>
      <c r="L25" s="14" t="str"/>
      <c r="M25" s="14" t="str"/>
      <c r="N25" s="14" t="str"/>
    </row>
    <row r="26">
      <c r="A26" s="14" t="inlineStr">
        <is>
          <t>R7.1-REG-03</t>
        </is>
      </c>
      <c r="B26" s="14" t="inlineStr">
        <is>
          <t>P0</t>
        </is>
      </c>
      <c r="C26" s="14" t="inlineStr">
        <is>
          <t>Règles auto</t>
        </is>
      </c>
      <c r="D26" s="14" t="inlineStr">
        <is>
          <t>#9</t>
        </is>
      </c>
      <c r="E26" s="14" t="inlineStr">
        <is>
          <t>Créer une règle depuis transaction</t>
        </is>
      </c>
      <c r="F26" s="14" t="inlineStr">
        <is>
          <t>Transaction existante</t>
        </is>
      </c>
      <c r="G26" s="14" t="inlineStr">
        <is>
          <t>Clic droit &gt; Créer une règle à partir de cette transaction.</t>
        </is>
      </c>
      <c r="H26" s="14" t="inlineStr">
        <is>
          <t>La règle est créée et visible immédiatement.</t>
        </is>
      </c>
      <c r="I26" s="14" t="inlineStr">
        <is>
          <t>KO rafraîchissement</t>
        </is>
      </c>
      <c r="J26" s="14" t="inlineStr">
        <is>
          <t>À rejouer</t>
        </is>
      </c>
      <c r="K26" s="14" t="inlineStr">
        <is>
          <t>À rejouer</t>
        </is>
      </c>
      <c r="L26" s="14" t="str"/>
      <c r="M26" s="14" t="str"/>
      <c r="N26" s="14" t="str"/>
    </row>
    <row r="27">
      <c r="A27" s="14" t="inlineStr">
        <is>
          <t>R7.1-REG-04</t>
        </is>
      </c>
      <c r="B27" s="14" t="inlineStr">
        <is>
          <t>P0</t>
        </is>
      </c>
      <c r="C27" s="14" t="inlineStr">
        <is>
          <t>Règles auto</t>
        </is>
      </c>
      <c r="D27" s="14" t="inlineStr">
        <is>
          <t>#9</t>
        </is>
      </c>
      <c r="E27" s="14" t="inlineStr">
        <is>
          <t>Rafraîchissement liste règles</t>
        </is>
      </c>
      <c r="F27" s="14" t="inlineStr">
        <is>
          <t>Règle créée depuis transaction</t>
        </is>
      </c>
      <c r="G27" s="14" t="inlineStr">
        <is>
          <t>Contrôler la liste des règles sans action supplémentaire.</t>
        </is>
      </c>
      <c r="H27" s="14" t="inlineStr">
        <is>
          <t>La règle apparaît sans devoir créer une autre règle.</t>
        </is>
      </c>
      <c r="I27" s="14" t="inlineStr">
        <is>
          <t>KO</t>
        </is>
      </c>
      <c r="J27" s="14" t="inlineStr">
        <is>
          <t>À rejouer</t>
        </is>
      </c>
      <c r="K27" s="14" t="inlineStr">
        <is>
          <t>À rejouer</t>
        </is>
      </c>
      <c r="L27" s="14" t="str"/>
      <c r="M27" s="14" t="str"/>
      <c r="N27" s="14" t="str"/>
    </row>
    <row r="28">
      <c r="A28" s="14" t="inlineStr">
        <is>
          <t>R7.1-NR-01</t>
        </is>
      </c>
      <c r="B28" s="14" t="inlineStr">
        <is>
          <t>P0</t>
        </is>
      </c>
      <c r="C28" s="14" t="inlineStr">
        <is>
          <t>Non-régression</t>
        </is>
      </c>
      <c r="D28" s="14" t="str"/>
      <c r="E28" s="14" t="inlineStr">
        <is>
          <t>Dashboard après corrections</t>
        </is>
      </c>
      <c r="F28" s="14" t="inlineStr">
        <is>
          <t>Corrections P0 appliquées</t>
        </is>
      </c>
      <c r="G28" s="14" t="inlineStr">
        <is>
          <t>Ouvrir Dashboard et contrôler KPI/grafiques.</t>
        </is>
      </c>
      <c r="H28" s="14" t="inlineStr">
        <is>
          <t>Dashboard stable, cohérent, sans crash.</t>
        </is>
      </c>
      <c r="I28" s="14" t="inlineStr">
        <is>
          <t>OK à préserver</t>
        </is>
      </c>
      <c r="J28" s="14" t="inlineStr">
        <is>
          <t>À rejouer</t>
        </is>
      </c>
      <c r="K28" s="14" t="inlineStr">
        <is>
          <t>À rejouer</t>
        </is>
      </c>
      <c r="L28" s="14" t="str"/>
      <c r="M28" s="14" t="str"/>
      <c r="N28" s="14" t="str"/>
    </row>
    <row r="29">
      <c r="A29" s="14" t="inlineStr">
        <is>
          <t>R7.1-NR-02</t>
        </is>
      </c>
      <c r="B29" s="14" t="inlineStr">
        <is>
          <t>P0</t>
        </is>
      </c>
      <c r="C29" s="14" t="inlineStr">
        <is>
          <t>Non-régression</t>
        </is>
      </c>
      <c r="D29" s="14" t="str"/>
      <c r="E29" s="14" t="inlineStr">
        <is>
          <t>Budget après corrections Transactions</t>
        </is>
      </c>
      <c r="F29" s="14" t="inlineStr">
        <is>
          <t>Transactions modifiées/créées</t>
        </is>
      </c>
      <c r="G29" s="14" t="inlineStr">
        <is>
          <t>Ouvrir Budget et vérifier réalisé par catégories.</t>
        </is>
      </c>
      <c r="H29" s="14" t="inlineStr">
        <is>
          <t>Budget toujours cohérent.</t>
        </is>
      </c>
      <c r="I29" s="14" t="inlineStr">
        <is>
          <t>OK à préserver</t>
        </is>
      </c>
      <c r="J29" s="14" t="inlineStr">
        <is>
          <t>À rejouer</t>
        </is>
      </c>
      <c r="K29" s="14" t="inlineStr">
        <is>
          <t>À rejouer</t>
        </is>
      </c>
      <c r="L29" s="14" t="str"/>
      <c r="M29" s="14" t="str"/>
      <c r="N29" s="14" t="str"/>
    </row>
    <row r="30">
      <c r="A30" s="14" t="inlineStr">
        <is>
          <t>R7.1-NR-03</t>
        </is>
      </c>
      <c r="B30" s="14" t="inlineStr">
        <is>
          <t>P0</t>
        </is>
      </c>
      <c r="C30" s="14" t="inlineStr">
        <is>
          <t>Non-régression</t>
        </is>
      </c>
      <c r="D30" s="14" t="str"/>
      <c r="E30" s="14" t="inlineStr">
        <is>
          <t>Sauvegarde/restauration</t>
        </is>
      </c>
      <c r="F30" s="14" t="inlineStr">
        <is>
          <t>Base avec corrections</t>
        </is>
      </c>
      <c r="G30" s="14" t="inlineStr">
        <is>
          <t>Créer sauvegarde chiffrée puis restaurer.</t>
        </is>
      </c>
      <c r="H30" s="14" t="inlineStr">
        <is>
          <t>Sauvegarde/restauration OK, données conservées.</t>
        </is>
      </c>
      <c r="I30" s="14" t="inlineStr">
        <is>
          <t>OK à préserver</t>
        </is>
      </c>
      <c r="J30" s="14" t="inlineStr">
        <is>
          <t>À rejouer</t>
        </is>
      </c>
      <c r="K30" s="14" t="inlineStr">
        <is>
          <t>À rejouer</t>
        </is>
      </c>
      <c r="L30" s="14" t="str"/>
      <c r="M30" s="14" t="str"/>
      <c r="N30" s="14" t="str"/>
    </row>
    <row r="31">
      <c r="A31" s="14" t="inlineStr">
        <is>
          <t>R7.1-NR-04</t>
        </is>
      </c>
      <c r="B31" s="14" t="inlineStr">
        <is>
          <t>P0</t>
        </is>
      </c>
      <c r="C31" s="14" t="inlineStr">
        <is>
          <t>Non-régression</t>
        </is>
      </c>
      <c r="D31" s="14" t="str"/>
      <c r="E31" s="14" t="inlineStr">
        <is>
          <t>Sécurité locale</t>
        </is>
      </c>
      <c r="F31" s="14" t="inlineStr">
        <is>
          <t>Application corrigée</t>
        </is>
      </c>
      <c r="G31" s="14" t="inlineStr">
        <is>
          <t>Verrouiller, mauvais mot de passe, bon mot de passe.</t>
        </is>
      </c>
      <c r="H31" s="14" t="inlineStr">
        <is>
          <t>Sécurité locale toujours OK.</t>
        </is>
      </c>
      <c r="I31" s="14" t="inlineStr">
        <is>
          <t>OK à préserver</t>
        </is>
      </c>
      <c r="J31" s="14" t="inlineStr">
        <is>
          <t>À rejouer</t>
        </is>
      </c>
      <c r="K31" s="14" t="inlineStr">
        <is>
          <t>À rejouer</t>
        </is>
      </c>
      <c r="L31" s="14" t="str"/>
      <c r="M31" s="14" t="str"/>
      <c r="N31" s="14" t="str"/>
    </row>
    <row r="32">
      <c r="A32" s="14" t="inlineStr">
        <is>
          <t>R7.1-NR-05</t>
        </is>
      </c>
      <c r="B32" s="14" t="inlineStr">
        <is>
          <t>P0</t>
        </is>
      </c>
      <c r="C32" s="14" t="inlineStr">
        <is>
          <t>Non-régression</t>
        </is>
      </c>
      <c r="D32" s="14" t="str"/>
      <c r="E32" s="14" t="inlineStr">
        <is>
          <t>Redémarrage complet</t>
        </is>
      </c>
      <c r="F32" s="14" t="inlineStr">
        <is>
          <t>Tests ciblés terminés</t>
        </is>
      </c>
      <c r="G32" s="14" t="inlineStr">
        <is>
          <t>Fermer/réouvrir l’application.</t>
        </is>
      </c>
      <c r="H32" s="14" t="inlineStr">
        <is>
          <t>Démarrage, déverrouillage, menus et dashboard OK.</t>
        </is>
      </c>
      <c r="I32" s="14" t="inlineStr">
        <is>
          <t>OK à préserver</t>
        </is>
      </c>
      <c r="J32" s="14" t="inlineStr">
        <is>
          <t>À rejouer</t>
        </is>
      </c>
      <c r="K32" s="14" t="inlineStr">
        <is>
          <t>À rejouer</t>
        </is>
      </c>
      <c r="L32" s="14" t="str"/>
      <c r="M32" s="14" t="str"/>
      <c r="N32" s="14" t="str"/>
    </row>
  </sheetData>
  <conditionalFormatting sqref="B2:B200">
    <cfRule type="expression" priority="1" dxfId="0">
      <formula>B2="P0"</formula>
    </cfRule>
  </conditionalFormatting>
  <conditionalFormatting sqref="J2:K200">
    <cfRule type="expression" priority="2" dxfId="4">
      <formula>J2="OK"</formula>
    </cfRule>
    <cfRule type="expression" priority="3" dxfId="3">
      <formula>J2="KO"</formula>
    </cfRule>
    <cfRule type="expression" priority="4" dxfId="5">
      <formula>J2="À rejouer"</formula>
    </cfRule>
  </conditionalFormatting>
  <conditionalFormatting sqref="K2:K200">
    <cfRule type="expression" priority="5" dxfId="4">
      <formula>K2="OK"</formula>
    </cfRule>
    <cfRule type="expression" priority="6" dxfId="3">
      <formula>K2="KO"</formula>
    </cfRule>
    <cfRule type="expression" priority="7" dxfId="5">
      <formula>K2="À rejouer"</formula>
    </cfRule>
  </conditionalFormatting>
  <dataValidations count="3">
    <dataValidation sqref="B2:B200" showDropDown="0" showInputMessage="0" showErrorMessage="0" allowBlank="0" type="list">
      <formula1>"P0,P1,P2"</formula1>
    </dataValidation>
    <dataValidation sqref="J2:J200" showDropDown="0" showInputMessage="0" showErrorMessage="0" allowBlank="0" type="list">
      <formula1>"À rejouer,OK,OK avec réserve,KO,Non applicable"</formula1>
    </dataValidation>
    <dataValidation sqref="K2:K200" showDropDown="0" showInputMessage="0" showErrorMessage="0" allowBlank="0" type="list">
      <formula1>"À rejouer,OK,OK avec réserve,KO,Bloqué,Non 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8" customWidth="1" min="4" max="4"/>
    <col width="50" customWidth="1" min="5" max="5"/>
    <col width="46" customWidth="1" min="6" max="6"/>
    <col width="24" customWidth="1" min="7" max="7"/>
    <col width="16" customWidth="1" min="8" max="8"/>
  </cols>
  <sheetData>
    <row r="1" ht="26" customHeight="1">
      <c r="A1" s="6" t="inlineStr">
        <is>
          <t>Ordre</t>
        </is>
      </c>
      <c r="B1" s="6" t="inlineStr">
        <is>
          <t>Lot</t>
        </is>
      </c>
      <c r="C1" s="6" t="inlineStr">
        <is>
          <t>Module</t>
        </is>
      </c>
      <c r="D1" s="6" t="inlineStr">
        <is>
          <t>Issues</t>
        </is>
      </c>
      <c r="E1" s="6" t="inlineStr">
        <is>
          <t>Travail de correction</t>
        </is>
      </c>
      <c r="F1" s="6" t="inlineStr">
        <is>
          <t>Critères d'acceptation</t>
        </is>
      </c>
      <c r="G1" s="6" t="inlineStr">
        <is>
          <t>Tests principaux</t>
        </is>
      </c>
      <c r="H1" s="6" t="inlineStr">
        <is>
          <t>Statut</t>
        </is>
      </c>
    </row>
    <row r="2">
      <c r="A2" s="14" t="n">
        <v>1</v>
      </c>
      <c r="B2" s="14" t="inlineStr">
        <is>
          <t>P0-1</t>
        </is>
      </c>
      <c r="C2" s="14" t="inlineStr">
        <is>
          <t>Transactions</t>
        </is>
      </c>
      <c r="D2" s="14" t="inlineStr">
        <is>
          <t>#2</t>
        </is>
      </c>
      <c r="E2" s="14" t="inlineStr">
        <is>
          <t>Rendre la modification d’une transaction complète et recalculer les impacts.</t>
        </is>
      </c>
      <c r="F2" s="14" t="inlineStr">
        <is>
          <t>Tous les champs modifiables, soldes/KPIs/Budget cohérents.</t>
        </is>
      </c>
      <c r="G2" s="14" t="inlineStr">
        <is>
          <t>R7.1-TX-01 à TX-03</t>
        </is>
      </c>
      <c r="H2" s="14" t="inlineStr">
        <is>
          <t>À faire</t>
        </is>
      </c>
    </row>
    <row r="3">
      <c r="A3" s="14" t="n">
        <v>2</v>
      </c>
      <c r="B3" s="14" t="inlineStr">
        <is>
          <t>P0-2</t>
        </is>
      </c>
      <c r="C3" s="14" t="inlineStr">
        <is>
          <t>Patrimoine</t>
        </is>
      </c>
      <c r="D3" s="14" t="inlineStr">
        <is>
          <t>#23, #24, #26</t>
        </is>
      </c>
      <c r="E3" s="14" t="inlineStr">
        <is>
          <t>Corriger actions actifs/passifs, classification, calculs, historique et Voir historique.</t>
        </is>
      </c>
      <c r="F3" s="14" t="inlineStr">
        <is>
          <t>Actifs/passifs séparés, patrimoine net cohérent, historique exploitable.</t>
        </is>
      </c>
      <c r="G3" s="14" t="inlineStr">
        <is>
          <t>R7.1-PAT-01 à PAT-07</t>
        </is>
      </c>
      <c r="H3" s="14" t="inlineStr">
        <is>
          <t>À faire</t>
        </is>
      </c>
    </row>
    <row r="4">
      <c r="A4" s="14" t="n">
        <v>3</v>
      </c>
      <c r="B4" s="14" t="inlineStr">
        <is>
          <t>P0-3</t>
        </is>
      </c>
      <c r="C4" s="14" t="inlineStr">
        <is>
          <t>Rapprochements</t>
        </is>
      </c>
      <c r="D4" s="14" t="inlineStr">
        <is>
          <t>#15, #17, #18</t>
        </is>
      </c>
      <c r="E4" s="14" t="inlineStr">
        <is>
          <t>Inclure transactions manuelles, corriger statuts, compteurs, retards et confirmation.</t>
        </is>
      </c>
      <c r="F4" s="14" t="inlineStr">
        <is>
          <t>Rapprochements exploitables et persistants.</t>
        </is>
      </c>
      <c r="G4" s="14" t="inlineStr">
        <is>
          <t>R7.1-RAP-01 à RAP-05</t>
        </is>
      </c>
      <c r="H4" s="14" t="inlineStr">
        <is>
          <t>À faire</t>
        </is>
      </c>
    </row>
    <row r="5">
      <c r="A5" s="14" t="n">
        <v>4</v>
      </c>
      <c r="B5" s="14" t="inlineStr">
        <is>
          <t>P0-4</t>
        </is>
      </c>
      <c r="C5" s="14" t="inlineStr">
        <is>
          <t>Prévisionnel</t>
        </is>
      </c>
      <c r="D5" s="14" t="inlineStr">
        <is>
          <t>#10</t>
        </is>
      </c>
      <c r="E5" s="14" t="inlineStr">
        <is>
          <t>Ajouter événement Ponctuel / Une seule fois.</t>
        </is>
      </c>
      <c r="F5" s="14" t="inlineStr">
        <is>
          <t>Impact unique au bon jour, modifiable/supprimable/rapprochable.</t>
        </is>
      </c>
      <c r="G5" s="14" t="inlineStr">
        <is>
          <t>R7.1-PREV-01 à PREV-03</t>
        </is>
      </c>
      <c r="H5" s="14" t="inlineStr">
        <is>
          <t>À faire</t>
        </is>
      </c>
    </row>
    <row r="6">
      <c r="A6" s="14" t="n">
        <v>5</v>
      </c>
      <c r="B6" s="14" t="inlineStr">
        <is>
          <t>P0-5</t>
        </is>
      </c>
      <c r="C6" s="14" t="inlineStr">
        <is>
          <t>Scénarios</t>
        </is>
      </c>
      <c r="D6" s="14" t="inlineStr">
        <is>
          <t>#11, #21</t>
        </is>
      </c>
      <c r="E6" s="14" t="inlineStr">
        <is>
          <t>Connecter scénario au moteur prévisionnel et corriger impacts trésorerie/patrimoine.</t>
        </is>
      </c>
      <c r="F6" s="14" t="inlineStr">
        <is>
          <t>Changement de scénario visible, impacts cohérents.</t>
        </is>
      </c>
      <c r="G6" s="14" t="inlineStr">
        <is>
          <t>R7.1-SCE-01 à SCE-04</t>
        </is>
      </c>
      <c r="H6" s="14" t="inlineStr">
        <is>
          <t>À faire</t>
        </is>
      </c>
    </row>
    <row r="7">
      <c r="A7" s="14" t="n">
        <v>6</v>
      </c>
      <c r="B7" s="14" t="inlineStr">
        <is>
          <t>P0-6</t>
        </is>
      </c>
      <c r="C7" s="14" t="inlineStr">
        <is>
          <t>Règles auto</t>
        </is>
      </c>
      <c r="D7" s="14" t="inlineStr">
        <is>
          <t>#12, #9</t>
        </is>
      </c>
      <c r="E7" s="14" t="inlineStr">
        <is>
          <t>Rendre application manuelle disponible et corriger création depuis transaction.</t>
        </is>
      </c>
      <c r="F7" s="14" t="inlineStr">
        <is>
          <t>Règles visibles, applicables, résumé d’application.</t>
        </is>
      </c>
      <c r="G7" s="14" t="inlineStr">
        <is>
          <t>R7.1-REG-01 à REG-04</t>
        </is>
      </c>
      <c r="H7" s="14" t="inlineStr">
        <is>
          <t>À faire</t>
        </is>
      </c>
    </row>
    <row r="8">
      <c r="A8" s="14" t="n">
        <v>7</v>
      </c>
      <c r="B8" s="14" t="inlineStr">
        <is>
          <t>NR</t>
        </is>
      </c>
      <c r="C8" s="14" t="inlineStr">
        <is>
          <t>Non-régression</t>
        </is>
      </c>
      <c r="D8" s="14" t="str"/>
      <c r="E8" s="14" t="inlineStr">
        <is>
          <t>Rejouer les contrôles transverses obligatoires.</t>
        </is>
      </c>
      <c r="F8" s="14" t="inlineStr">
        <is>
          <t>Aucune régression sur modules déjà validés.</t>
        </is>
      </c>
      <c r="G8" s="14" t="inlineStr">
        <is>
          <t>R7.1-NR-01 à NR-05</t>
        </is>
      </c>
      <c r="H8" s="14" t="inlineStr">
        <is>
          <t>À faire</t>
        </is>
      </c>
    </row>
  </sheetData>
  <dataValidations count="1">
    <dataValidation sqref="H2:H50" showDropDown="0" showInputMessage="0" showErrorMessage="0" allowBlank="0" type="list">
      <formula1>"À faire,En cours,Terminé,Bloqué,Reporté"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6" customWidth="1" min="4" max="4"/>
    <col width="14" customWidth="1" min="5" max="5"/>
  </cols>
  <sheetData>
    <row r="1" ht="26" customHeight="1">
      <c r="A1" s="6" t="inlineStr">
        <is>
          <t>Priorités</t>
        </is>
      </c>
      <c r="B1" s="6" t="inlineStr">
        <is>
          <t>Statuts correction</t>
        </is>
      </c>
      <c r="C1" s="6" t="inlineStr">
        <is>
          <t>Statuts recette/test</t>
        </is>
      </c>
      <c r="D1" s="6" t="inlineStr">
        <is>
          <t>Modules</t>
        </is>
      </c>
      <c r="E1" s="6" t="inlineStr">
        <is>
          <t>Sprints</t>
        </is>
      </c>
    </row>
    <row r="2">
      <c r="A2" s="12" t="inlineStr">
        <is>
          <t>P0</t>
        </is>
      </c>
      <c r="B2" s="12" t="inlineStr">
        <is>
          <t>À corriger</t>
        </is>
      </c>
      <c r="C2" s="12" t="inlineStr">
        <is>
          <t>À rejouer</t>
        </is>
      </c>
      <c r="D2" s="12" t="inlineStr">
        <is>
          <t>Transactions</t>
        </is>
      </c>
      <c r="E2" s="12" t="inlineStr">
        <is>
          <t>R7.1</t>
        </is>
      </c>
    </row>
    <row r="3">
      <c r="A3" s="12" t="inlineStr">
        <is>
          <t>P1</t>
        </is>
      </c>
      <c r="B3" s="12" t="inlineStr">
        <is>
          <t>En cours</t>
        </is>
      </c>
      <c r="C3" s="12" t="inlineStr">
        <is>
          <t>OK</t>
        </is>
      </c>
      <c r="D3" s="12" t="inlineStr">
        <is>
          <t>Patrimoine</t>
        </is>
      </c>
      <c r="E3" s="12" t="inlineStr">
        <is>
          <t>R7.2</t>
        </is>
      </c>
    </row>
    <row r="4">
      <c r="A4" s="12" t="inlineStr">
        <is>
          <t>P2</t>
        </is>
      </c>
      <c r="B4" s="12" t="inlineStr">
        <is>
          <t>Corrigée</t>
        </is>
      </c>
      <c r="C4" s="12" t="inlineStr">
        <is>
          <t>OK avec réserve</t>
        </is>
      </c>
      <c r="D4" s="12" t="inlineStr">
        <is>
          <t>Rapprochements</t>
        </is>
      </c>
      <c r="E4" s="12" t="inlineStr">
        <is>
          <t>R7.3</t>
        </is>
      </c>
    </row>
    <row r="5">
      <c r="A5" s="12" t="str"/>
      <c r="B5" s="12" t="inlineStr">
        <is>
          <t>À retester</t>
        </is>
      </c>
      <c r="C5" s="12" t="inlineStr">
        <is>
          <t>KO</t>
        </is>
      </c>
      <c r="D5" s="12" t="inlineStr">
        <is>
          <t>Prévisionnel</t>
        </is>
      </c>
      <c r="E5" s="12" t="str"/>
    </row>
    <row r="6">
      <c r="A6" s="12" t="str"/>
      <c r="B6" s="12" t="inlineStr">
        <is>
          <t>Requalifiée</t>
        </is>
      </c>
      <c r="C6" s="12" t="inlineStr">
        <is>
          <t>Non testé</t>
        </is>
      </c>
      <c r="D6" s="12" t="inlineStr">
        <is>
          <t>Scénarios</t>
        </is>
      </c>
      <c r="E6" s="12" t="str"/>
    </row>
    <row r="7">
      <c r="A7" s="12" t="str"/>
      <c r="B7" s="12" t="inlineStr">
        <is>
          <t>Clôturée</t>
        </is>
      </c>
      <c r="C7" s="12" t="inlineStr">
        <is>
          <t>Non applicable</t>
        </is>
      </c>
      <c r="D7" s="12" t="inlineStr">
        <is>
          <t>Règles auto</t>
        </is>
      </c>
      <c r="E7" s="12" t="str"/>
    </row>
    <row r="8">
      <c r="A8" s="12" t="str"/>
      <c r="B8" s="12" t="inlineStr">
        <is>
          <t>Reportée</t>
        </is>
      </c>
      <c r="C8" s="12" t="str"/>
      <c r="D8" s="12" t="inlineStr">
        <is>
          <t>Budget</t>
        </is>
      </c>
      <c r="E8" s="12" t="str"/>
    </row>
    <row r="9">
      <c r="A9" s="12" t="str"/>
      <c r="B9" s="12" t="str"/>
      <c r="C9" s="12" t="str"/>
      <c r="D9" s="12" t="inlineStr">
        <is>
          <t>Sécurité / sauvegarde</t>
        </is>
      </c>
      <c r="E9" s="12" t="str"/>
    </row>
    <row r="10">
      <c r="A10" s="12" t="str"/>
      <c r="B10" s="12" t="str"/>
      <c r="C10" s="12" t="str"/>
      <c r="D10" s="12" t="inlineStr">
        <is>
          <t>Performance</t>
        </is>
      </c>
      <c r="E10" s="12" t="str"/>
    </row>
    <row r="11">
      <c r="A11" s="12" t="str"/>
      <c r="B11" s="12" t="str"/>
      <c r="C11" s="12" t="str"/>
      <c r="D11" s="12" t="inlineStr">
        <is>
          <t>UX</t>
        </is>
      </c>
      <c r="E11" s="12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2026-07-19T13:25:44Z</dcterms:created>
  <dcterms:modified xmlns:dcterms="http://purl.org/dc/terms/" xmlns:xsi="http://www.w3.org/2001/XMLSchema-instance" xsi:type="dcterms:W3CDTF">2026-07-19T13:25:44Z</dcterms:modified>
</cp:coreProperties>
</file>