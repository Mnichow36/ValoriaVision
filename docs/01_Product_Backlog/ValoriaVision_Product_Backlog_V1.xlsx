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e29ac47eca46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au de bord" sheetId="1" r:id="Rd35d2adf0ebe4db7"/>
    <x:sheet xmlns:r="http://schemas.openxmlformats.org/officeDocument/2006/relationships" name="Backlog" sheetId="2" r:id="R48f3f08db897446b"/>
    <x:sheet xmlns:r="http://schemas.openxmlformats.org/officeDocument/2006/relationships" name="Epics" sheetId="3" r:id="Rc3aa25b023dd4a3c"/>
    <x:sheet xmlns:r="http://schemas.openxmlformats.org/officeDocument/2006/relationships" name="Configuration GitHub" sheetId="4" r:id="R880bd7c7ac5e44e3"/>
    <x:sheet xmlns:r="http://schemas.openxmlformats.org/officeDocument/2006/relationships" name="Listes" sheetId="5" r:id="Rf0b9710b21634e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%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22"/>
      <x:color rgb="FFFFFFFF"/>
      <x:name val="Carlito"/>
    </x:font>
    <x:font>
      <x:b/>
      <x:sz val="11"/>
      <x:color rgb="FF0B1F3A"/>
      <x:name val="Carlito"/>
    </x:font>
    <x:font>
      <x:b/>
      <x:sz val="22"/>
      <x:color rgb="FF2F66E8"/>
      <x:name val="Carlito"/>
    </x:font>
    <x:font>
      <x:b/>
      <x:sz val="11"/>
      <x:color rgb="FF2F66E8"/>
      <x:name val="Carlito"/>
    </x:font>
    <x:font>
      <x:i/>
      <x:sz val="11"/>
      <x:color rgb="FF64748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2F66E8"/>
      </x:patternFill>
    </x:fill>
    <x:fill>
      <x:patternFill patternType="solid">
        <x:fgColor rgb="FFEAF1FF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</x:cellXfs>
  <x:cellStyles count="1">
    <x:cellStyle name="Normal" xfId="0"/>
  </x:cellStyles>
  <x:dxfs count="7"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D97706"/>
      </x:font>
      <x:fill>
        <x:patternFill patternType="solid">
          <x:bgColor rgb="FFFEF3C7"/>
        </x:patternFill>
      </x:fill>
    </x:dxf>
    <x:dxf>
      <x:font>
        <x:b/>
        <x:color rgb="FF2F66E8"/>
      </x:font>
      <x:fill>
        <x:patternFill patternType="solid">
          <x:bgColor rgb="FFEAF1FF"/>
        </x:patternFill>
      </x:fill>
    </x:dxf>
    <x:dxf>
      <x:font>
        <x:b/>
        <x:color rgb="FF16A34A"/>
      </x:font>
      <x:fill>
        <x:patternFill patternType="solid">
          <x:bgColor rgb="FFDCFCE7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97706"/>
      </x:font>
      <x:fill>
        <x:patternFill patternType="solid">
          <x:bgColor rgb="FFFEF3C7"/>
        </x:patternFill>
      </x:fill>
    </x:dxf>
    <x:dxf>
      <x:font>
        <x:color rgb="FF2F66E8"/>
      </x:font>
      <x:fill>
        <x:patternFill patternType="solid">
          <x:bgColor rgb="FFEAF1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15e9c2d99649be" /><Relationship Type="http://schemas.openxmlformats.org/officeDocument/2006/relationships/theme" Target="/xl/theme/theme1.xml" Id="R83622fd4551040f7" /><Relationship Type="http://schemas.openxmlformats.org/officeDocument/2006/relationships/sharedStrings" Target="/xl/sharedStrings.xml" Id="Rdf6a5cfaf0b34dc9" /><Relationship Type="http://schemas.openxmlformats.org/officeDocument/2006/relationships/worksheet" Target="/xl/worksheets/sheet1.xml" Id="Rd35d2adf0ebe4db7" /><Relationship Type="http://schemas.openxmlformats.org/officeDocument/2006/relationships/worksheet" Target="/xl/worksheets/sheet2.xml" Id="R48f3f08db897446b" /><Relationship Type="http://schemas.openxmlformats.org/officeDocument/2006/relationships/worksheet" Target="/xl/worksheets/sheet3.xml" Id="Rc3aa25b023dd4a3c" /><Relationship Type="http://schemas.openxmlformats.org/officeDocument/2006/relationships/worksheet" Target="/xl/worksheets/sheet4.xml" Id="R880bd7c7ac5e44e3" /><Relationship Type="http://schemas.openxmlformats.org/officeDocument/2006/relationships/worksheet" Target="/xl/worksheets/sheet5.xml" Id="Rf0b9710b21634e2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b31bc6b0a924307" /><Relationship Type="http://schemas.openxmlformats.org/officeDocument/2006/relationships/chart" Target="/xl/drawings/charts/chart2.xml" Id="Ra654a1ed2ba94e8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Backlog par statut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Nombre</c:v>
          </c:tx>
          <c:cat>
            <c:strRef>
              <c:f>'Tableau de bord'!$A$10:$A$15</c:f>
              <c:strCache>
                <c:ptCount val="0"/>
              </c:strCache>
            </c:strRef>
          </c:cat>
          <c:val>
            <c:numRef>
              <c:f>'Tableau de bord'!$B$10:$B$15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Répartition par priorité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Nombre</c:v>
          </c:tx>
          <c:cat>
            <c:strRef>
              <c:f>'Tableau de bord'!$D$10:$D$13</c:f>
              <c:strCache>
                <c:ptCount val="0"/>
              </c:strCache>
            </c:strRef>
          </c:cat>
          <c:val>
            <c:numRef>
              <c:f>'Tableau de bord'!$E$10:$E$13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8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b31bc6b0a924307"/>
        </a:graphicData>
      </a:graphic>
    </xdr:graphicFrame>
    <xdr:clientData/>
  </xdr:twoCellAnchor>
  <xdr:twoCellAnchor>
    <xdr:from>
      <xdr:col>8</xdr:col>
      <xdr:colOff>0</xdr:colOff>
      <xdr:row>17</xdr:row>
      <xdr:rowOff>0</xdr:rowOff>
    </xdr:from>
    <xdr:to>
      <xdr:col>14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654a1ed2ba94e8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ductBacklogTable" displayName="ProductBacklogTable" ref="A1:O59" headerRowCount="1">
  <x:tableColumns count="15">
    <x:tableColumn id="1" name="ID"/>
    <x:tableColumn id="2" name="Epic"/>
    <x:tableColumn id="3" name="Domaine / Module"/>
    <x:tableColumn id="4" name="Type"/>
    <x:tableColumn id="5" name="Titre"/>
    <x:tableColumn id="6" name="Description"/>
    <x:tableColumn id="7" name="Priorité"/>
    <x:tableColumn id="8" name="Version cible"/>
    <x:tableColumn id="9" name="Statut"/>
    <x:tableColumn id="10" name="Issue GitHub"/>
    <x:tableColumn id="11" name="Parent / Epic"/>
    <x:tableColumn id="12" name="Dépendances"/>
    <x:tableColumn id="13" name="Critères d'acceptation"/>
    <x:tableColumn id="14" name="Source / décision"/>
    <x:tableColumn id="15" name="Dernière mise à jour"/>
  </x:tableColumns>
  <x:tableStyleInfo name="TableStyleMedium2" showRowStripes="1"/>
</x:table>
</file>

<file path=xl/tables/table2.xml><?xml version="1.0" encoding="utf-8"?>
<x:table xmlns:x="http://schemas.openxmlformats.org/spreadsheetml/2006/main" id="2" name="EpicsTable" displayName="EpicsTable" ref="A1:H19" headerRowCount="1">
  <x:tableColumns count="8">
    <x:tableColumn id="1" name="Epic"/>
    <x:tableColumn id="2" name="Objectif"/>
    <x:tableColumn id="3" name="Responsable produit"/>
    <x:tableColumn id="4" name="Version dominante"/>
    <x:tableColumn id="5" name="Statut global"/>
    <x:tableColumn id="6" name="Nb éléments"/>
    <x:tableColumn id="7" name="Nb terminés"/>
    <x:tableColumn id="8" name="Progress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52297759f4749c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23301a3a3243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a6d9bac7e84739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24" t="str">
        <x:v>VALORIA VISION - PRODUCT BACKLOG</x:v>
      </x:c>
      <x:c r="B1" s="24"/>
      <x:c r="C1" s="24"/>
      <x:c r="D1" s="24"/>
      <x:c r="E1" s="24"/>
      <x:c r="F1" s="24"/>
      <x:c r="G1" s="24"/>
      <x:c r="H1" s="24"/>
    </x:row>
    <x:row r="2">
      <x:c r="A2" s="24"/>
      <x:c r="B2" s="24"/>
      <x:c r="C2" s="24"/>
      <x:c r="D2" s="24"/>
      <x:c r="E2" s="24"/>
      <x:c r="F2" s="24"/>
      <x:c r="G2" s="24"/>
      <x:c r="H2" s="24"/>
    </x:row>
    <x:row r="3">
      <x:c r="A3" s="30" t="str">
        <x:v>Phase 1 - Référentiel de pilotage | Mise à jour : 19/07/2026</x:v>
      </x:c>
      <x:c r="B3" s="30"/>
      <x:c r="C3" s="30"/>
      <x:c r="D3" s="30"/>
      <x:c r="E3" s="30"/>
      <x:c r="F3" s="30"/>
      <x:c r="G3" s="30"/>
      <x:c r="H3" s="30"/>
    </x:row>
    <x:row r="5">
      <x:c r="A5" s="37" t="str">
        <x:v>Éléments backlog</x:v>
      </x:c>
      <x:c r="B5" s="37"/>
      <x:c r="C5" s="37" t="str">
        <x:v>P0 ouverts</x:v>
      </x:c>
      <x:c r="D5" s="37"/>
      <x:c r="E5" s="37" t="str">
        <x:v>À retester</x:v>
      </x:c>
      <x:c r="F5" s="37"/>
      <x:c r="G5" s="37" t="str">
        <x:v>Terminés</x:v>
      </x:c>
      <x:c r="H5" s="37"/>
    </x:row>
    <x:row r="6">
      <x:c r="A6" s="44" t="n">
        <x:f>COUNTA(Backlog!$A$2:$A$200)</x:f>
        <x:v>58</x:v>
      </x:c>
      <x:c r="B6" s="44"/>
      <x:c r="C6" s="44" t="n">
        <x:f>COUNTIFS(Backlog!$G$2:$G$200,"P0",Backlog!$I$2:$I$200,"&lt;&gt;Validé",Backlog!$I$2:$I$200,"&lt;&gt;Livré",Backlog!$I$2:$I$200,"&lt;&gt;Clôturé")</x:f>
        <x:v>14</x:v>
      </x:c>
      <x:c r="D6" s="44"/>
      <x:c r="E6" s="44" t="n">
        <x:f>COUNTIF(Backlog!$I$2:$I$200,"À retester")</x:f>
        <x:v>8</x:v>
      </x:c>
      <x:c r="F6" s="44"/>
      <x:c r="G6" s="44" t="n">
        <x:f>COUNTIF(Backlog!$I$2:$I$200,"Validé")+COUNTIF(Backlog!$I$2:$I$200,"Livré")+COUNTIF(Backlog!$I$2:$I$200,"Clôturé")</x:f>
        <x:v>9</x:v>
      </x:c>
      <x:c r="H6" s="44"/>
    </x:row>
    <x:row r="7">
      <x:c r="A7" s="44"/>
      <x:c r="B7" s="44"/>
      <x:c r="C7" s="44"/>
      <x:c r="D7" s="44"/>
      <x:c r="E7" s="44"/>
      <x:c r="F7" s="44"/>
      <x:c r="G7" s="44"/>
      <x:c r="H7" s="44"/>
    </x:row>
    <x:row r="9">
      <x:c r="A9" s="20" t="str">
        <x:v>Statut</x:v>
      </x:c>
      <x:c r="B9" s="20" t="str">
        <x:v>Nombre</x:v>
      </x:c>
      <x:c r="D9" s="20" t="str">
        <x:v>Priorité</x:v>
      </x:c>
      <x:c r="E9" s="20" t="str">
        <x:v>Nombre</x:v>
      </x:c>
    </x:row>
    <x:row r="10">
      <x:c r="A10" t="str">
        <x:v>À corriger</x:v>
      </x:c>
      <x:c r="B10" t="n">
        <x:f>COUNTIF(Backlog!$I$2:$I$200,A10)</x:f>
        <x:v>3</x:v>
      </x:c>
      <x:c r="D10" t="str">
        <x:v>P0</x:v>
      </x:c>
      <x:c r="E10" t="n">
        <x:f>COUNTIF(Backlog!$G$2:$G$200,D10)</x:f>
        <x:v>19</x:v>
      </x:c>
    </x:row>
    <x:row r="11">
      <x:c r="A11" t="str">
        <x:v>À retester</x:v>
      </x:c>
      <x:c r="B11" t="n">
        <x:f>COUNTIF(Backlog!$I$2:$I$200,A11)</x:f>
        <x:v>8</x:v>
      </x:c>
      <x:c r="D11" t="str">
        <x:v>P1</x:v>
      </x:c>
      <x:c r="E11" t="n">
        <x:f>COUNTIF(Backlog!$G$2:$G$200,D11)</x:f>
        <x:v>24</x:v>
      </x:c>
    </x:row>
    <x:row r="12">
      <x:c r="A12" t="str">
        <x:v>À faire</x:v>
      </x:c>
      <x:c r="B12" t="n">
        <x:f>COUNTIF(Backlog!$I$2:$I$200,A12)</x:f>
        <x:v>19</x:v>
      </x:c>
      <x:c r="D12" t="str">
        <x:v>P2</x:v>
      </x:c>
      <x:c r="E12" t="n">
        <x:f>COUNTIF(Backlog!$G$2:$G$200,D12)</x:f>
        <x:v>14</x:v>
      </x:c>
    </x:row>
    <x:row r="13">
      <x:c r="A13" t="str">
        <x:v>Planifié</x:v>
      </x:c>
      <x:c r="B13" t="n">
        <x:f>COUNTIF(Backlog!$I$2:$I$200,A13)</x:f>
        <x:v>18</x:v>
      </x:c>
      <x:c r="D13" t="str">
        <x:v>P3</x:v>
      </x:c>
      <x:c r="E13" t="n">
        <x:f>COUNTIF(Backlog!$G$2:$G$200,D13)</x:f>
        <x:v>1</x:v>
      </x:c>
    </x:row>
    <x:row r="14">
      <x:c r="A14" t="str">
        <x:v>Validé</x:v>
      </x:c>
      <x:c r="B14" t="n">
        <x:f>COUNTIF(Backlog!$I$2:$I$200,A14)</x:f>
        <x:v>5</x:v>
      </x:c>
    </x:row>
    <x:row r="15">
      <x:c r="A15" t="str">
        <x:v>Livré</x:v>
      </x:c>
      <x:c r="B15" t="n">
        <x:f>COUNTIF(Backlog!$I$2:$I$200,A15)</x:f>
        <x:v>4</x:v>
      </x:c>
    </x:row>
    <x:row r="18">
      <x:c r="A18" s="20" t="str">
        <x:v>Règles de pilotage</x:v>
      </x:c>
      <x:c r="B18" s="20"/>
      <x:c r="C18" s="20"/>
      <x:c r="D18" s="20"/>
      <x:c r="E18" s="20"/>
      <x:c r="F18" s="20"/>
      <x:c r="G18" s="20"/>
      <x:c r="H18" s="20"/>
    </x:row>
    <x:row r="19" ht="34" customHeight="1">
      <x:c r="A19" s="49" t="str">
        <x:v>1</x:v>
      </x:c>
      <x:c r="B19" s="52" t="str">
        <x:v>Toute nouvelle évolution reçoit un ID backlog et une issue GitHub avant développement.</x:v>
      </x:c>
      <x:c r="C19" s="52"/>
      <x:c r="D19" s="52"/>
      <x:c r="E19" s="52"/>
      <x:c r="F19" s="52"/>
      <x:c r="G19" s="52"/>
      <x:c r="H19" s="52"/>
    </x:row>
    <x:row r="20" ht="34" customHeight="1">
      <x:c r="A20" s="49" t="str">
        <x:v>2</x:v>
      </x:c>
      <x:c r="B20" s="52" t="str">
        <x:v>Une issue n'est fermée qu'après test de recette OK et mise à jour du commentaire.</x:v>
      </x:c>
      <x:c r="C20" s="52"/>
      <x:c r="D20" s="52"/>
      <x:c r="E20" s="52"/>
      <x:c r="F20" s="52"/>
      <x:c r="G20" s="52"/>
      <x:c r="H20" s="52"/>
    </x:row>
    <x:row r="21" ht="34" customHeight="1">
      <x:c r="A21" s="49" t="str">
        <x:v>3</x:v>
      </x:c>
      <x:c r="B21" s="52" t="str">
        <x:v>Les P0 bloquent la sortie; les P1 doivent être corrigés ou formellement requalifiés.</x:v>
      </x:c>
      <x:c r="C21" s="52"/>
      <x:c r="D21" s="52"/>
      <x:c r="E21" s="52"/>
      <x:c r="F21" s="52"/>
      <x:c r="G21" s="52"/>
      <x:c r="H21" s="52"/>
    </x:row>
    <x:row r="22" ht="34" customHeight="1">
      <x:c r="A22" s="49" t="str">
        <x:v>4</x:v>
      </x:c>
      <x:c r="B22" s="52" t="str">
        <x:v>La sécurité de la base, des sauvegardes et de l'accès est obligatoire avant bêta avec données réelles.</x:v>
      </x:c>
      <x:c r="C22" s="52"/>
      <x:c r="D22" s="52"/>
      <x:c r="E22" s="52"/>
      <x:c r="F22" s="52"/>
      <x:c r="G22" s="52"/>
      <x:c r="H22" s="52"/>
    </x:row>
    <x:row r="23" ht="34" customHeight="1">
      <x:c r="A23" s="49" t="str">
        <x:v>5</x:v>
      </x:c>
      <x:c r="B23" s="52" t="str">
        <x:v>Les documents du dossier docs/ sont versionnés avec le code et mis à jour à chaque décision structurante.</x:v>
      </x:c>
      <x:c r="C23" s="52"/>
      <x:c r="D23" s="52"/>
      <x:c r="E23" s="52"/>
      <x:c r="F23" s="52"/>
      <x:c r="G23" s="52"/>
      <x:c r="H23" s="52"/>
    </x:row>
  </x:sheetData>
  <x:mergeCells>
    <x:mergeCell ref="A1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  <x:mergeCell ref="A18:H18"/>
    <x:mergeCell ref="B19:H19"/>
    <x:mergeCell ref="B20:H20"/>
    <x:mergeCell ref="B21:H21"/>
    <x:mergeCell ref="B22:H22"/>
    <x:mergeCell ref="B23:H23"/>
  </x:mergeCells>
  <x:pageMargins left="0.7" right="0.7" top="0.75" bottom="0.75" header="0.3" footer="0.3"/>
  <x:drawing xmlns:r="http://schemas.openxmlformats.org/officeDocument/2006/relationships" r:id="R252297759f4749c4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3" hidden="0" customWidth="1"/>
    <x:col min="3" max="3" width="23" hidden="0" customWidth="1"/>
    <x:col min="4" max="4" width="16" hidden="0" customWidth="1"/>
    <x:col min="5" max="5" width="36" hidden="0" customWidth="1"/>
    <x:col min="6" max="6" width="54" hidden="0" customWidth="1"/>
    <x:col min="7" max="7" width="10" hidden="0" customWidth="1"/>
    <x:col min="8" max="8" width="16" hidden="0" customWidth="1"/>
    <x:col min="9" max="9" width="16" hidden="0" customWidth="1"/>
    <x:col min="10" max="10" width="14" hidden="0" customWidth="1"/>
    <x:col min="11" max="11" width="23" hidden="0" customWidth="1"/>
    <x:col min="12" max="12" width="24" hidden="0" customWidth="1"/>
    <x:col min="13" max="13" width="52" hidden="0" customWidth="1"/>
    <x:col min="14" max="14" width="30" hidden="0" customWidth="1"/>
    <x:col min="15" max="15" width="16" hidden="0" customWidth="1"/>
  </x:cols>
  <x:sheetData>
    <x:row r="1" ht="34" customHeight="1">
      <x:c r="A1" s="6" t="str">
        <x:v>ID</x:v>
      </x:c>
      <x:c r="B1" s="6" t="str">
        <x:v>Epic</x:v>
      </x:c>
      <x:c r="C1" s="6" t="str">
        <x:v>Domaine / Module</x:v>
      </x:c>
      <x:c r="D1" s="6" t="str">
        <x:v>Type</x:v>
      </x:c>
      <x:c r="E1" s="6" t="str">
        <x:v>Titre</x:v>
      </x:c>
      <x:c r="F1" s="6" t="str">
        <x:v>Description</x:v>
      </x:c>
      <x:c r="G1" s="6" t="str">
        <x:v>Priorité</x:v>
      </x:c>
      <x:c r="H1" s="6" t="str">
        <x:v>Version cible</x:v>
      </x:c>
      <x:c r="I1" s="6" t="str">
        <x:v>Statut</x:v>
      </x:c>
      <x:c r="J1" s="6" t="str">
        <x:v>Issue GitHub</x:v>
      </x:c>
      <x:c r="K1" s="6" t="str">
        <x:v>Parent / Epic</x:v>
      </x:c>
      <x:c r="L1" s="6" t="str">
        <x:v>Dépendances</x:v>
      </x:c>
      <x:c r="M1" s="6" t="str">
        <x:v>Critères d'acceptation</x:v>
      </x:c>
      <x:c r="N1" s="6" t="str">
        <x:v>Source / décision</x:v>
      </x:c>
      <x:c r="O1" s="6" t="str">
        <x:v>Dernière mise à jour</x:v>
      </x:c>
    </x:row>
    <x:row r="2">
      <x:c r="A2" s="13" t="str">
        <x:v>VV-TX-001</x:v>
      </x:c>
      <x:c r="B2" s="13" t="str">
        <x:v>Transactions</x:v>
      </x:c>
      <x:c r="C2" s="13" t="str">
        <x:v>Transactions</x:v>
      </x:c>
      <x:c r="D2" s="13" t="str">
        <x:v>Bug</x:v>
      </x:c>
      <x:c r="E2" s="13" t="str">
        <x:v>Modification complète d'une transaction</x:v>
      </x:c>
      <x:c r="F2" s="13" t="str">
        <x:v>Permettre la modification de la date, du libellé, du montant, du compte, du type, de la catégorie et du statut, avec recalcul des impacts.</x:v>
      </x:c>
      <x:c r="G2" s="13" t="str">
        <x:v>P0</x:v>
      </x:c>
      <x:c r="H2" s="13" t="str">
        <x:v>V0.6.6-R7.1</x:v>
      </x:c>
      <x:c r="I2" s="13" t="str">
        <x:v>Validé</x:v>
      </x:c>
      <x:c r="J2" s="13" t="str">
        <x:v>#2</x:v>
      </x:c>
      <x:c r="K2" s="13" t="str">
        <x:v>EPIC Transactions</x:v>
      </x:c>
      <x:c r="L2" s="13" t="str">
        <x:v>—</x:v>
      </x:c>
      <x:c r="M2" s="13" t="str">
        <x:v>Tous les champs sont modifiables; soldes, budget et indicateurs sont recalculés; persistance après redémarrage.</x:v>
      </x:c>
      <x:c r="N2" s="13" t="str">
        <x:v>Recette R7.1 - TX-01 à TX-03</x:v>
      </x:c>
      <x:c r="O2" s="16" t="n">
        <x:v>46222</x:v>
      </x:c>
    </x:row>
    <x:row r="3">
      <x:c r="A3" s="13" t="str">
        <x:v>VV-PAT-001</x:v>
      </x:c>
      <x:c r="B3" s="13" t="str">
        <x:v>Patrimoine</x:v>
      </x:c>
      <x:c r="C3" s="13" t="str">
        <x:v>Patrimoine</x:v>
      </x:c>
      <x:c r="D3" s="13" t="str">
        <x:v>Bug</x:v>
      </x:c>
      <x:c r="E3" s="13" t="str">
        <x:v>Modifier et supprimer un actif patrimonial</x:v>
      </x:c>
      <x:c r="F3" s="13" t="str">
        <x:v>Rendre les actifs patrimoniaux modifiables et supprimables sans incohérence de calcul.</x:v>
      </x:c>
      <x:c r="G3" s="13" t="str">
        <x:v>P0</x:v>
      </x:c>
      <x:c r="H3" s="13" t="str">
        <x:v>V0.6.6-R7.1</x:v>
      </x:c>
      <x:c r="I3" s="13" t="str">
        <x:v>Validé</x:v>
      </x:c>
      <x:c r="J3" s="13" t="str">
        <x:v>#23</x:v>
      </x:c>
      <x:c r="K3" s="13" t="str">
        <x:v>EPIC Patrimoine</x:v>
      </x:c>
      <x:c r="L3" s="13" t="str">
        <x:v>—</x:v>
      </x:c>
      <x:c r="M3" s="13" t="str">
        <x:v>Modification et suppression effectives; indicateurs recalculés; persistance après redémarrage.</x:v>
      </x:c>
      <x:c r="N3" s="13" t="str">
        <x:v>Recette R7.1 - PAT-01</x:v>
      </x:c>
      <x:c r="O3" s="16" t="n">
        <x:v>46222</x:v>
      </x:c>
    </x:row>
    <x:row r="4">
      <x:c r="A4" s="13" t="str">
        <x:v>VV-PAT-002</x:v>
      </x:c>
      <x:c r="B4" s="13" t="str">
        <x:v>Patrimoine</x:v>
      </x:c>
      <x:c r="C4" s="13" t="str">
        <x:v>Patrimoine</x:v>
      </x:c>
      <x:c r="D4" s="13" t="str">
        <x:v>Bug</x:v>
      </x:c>
      <x:c r="E4" s="13" t="str">
        <x:v>Classer les passifs dans l'onglet Passifs</x:v>
      </x:c>
      <x:c r="F4" s="13" t="str">
        <x:v>Corriger la classification des passifs créés afin qu'ils ne soient jamais affichés parmi les actifs.</x:v>
      </x:c>
      <x:c r="G4" s="13" t="str">
        <x:v>P0</x:v>
      </x:c>
      <x:c r="H4" s="13" t="str">
        <x:v>V0.6.6-R7.1</x:v>
      </x:c>
      <x:c r="I4" s="13" t="str">
        <x:v>Validé</x:v>
      </x:c>
      <x:c r="J4" s="13" t="str">
        <x:v>#24</x:v>
      </x:c>
      <x:c r="K4" s="13" t="str">
        <x:v>EPIC Patrimoine</x:v>
      </x:c>
      <x:c r="L4" s="13" t="str">
        <x:v>VV-PAT-001</x:v>
      </x:c>
      <x:c r="M4" s="13" t="str">
        <x:v>Un passif créé est visible dans Passifs uniquement; patrimoine net cohérent.</x:v>
      </x:c>
      <x:c r="N4" s="13" t="str">
        <x:v>Recette R7.1 - PAT-02/PAT-03</x:v>
      </x:c>
      <x:c r="O4" s="16" t="n">
        <x:v>46222</x:v>
      </x:c>
    </x:row>
    <x:row r="5">
      <x:c r="A5" s="13" t="str">
        <x:v>VV-PAT-003</x:v>
      </x:c>
      <x:c r="B5" s="13" t="str">
        <x:v>Patrimoine</x:v>
      </x:c>
      <x:c r="C5" s="13" t="str">
        <x:v>Patrimoine</x:v>
      </x:c>
      <x:c r="D5" s="13" t="str">
        <x:v>Bug</x:v>
      </x:c>
      <x:c r="E5" s="13" t="str">
        <x:v>Cohérence des indicateurs patrimoniaux</x:v>
      </x:c>
      <x:c r="F5" s="13" t="str">
        <x:v>Garantir la cohérence entre total actifs, total passifs et patrimoine net.</x:v>
      </x:c>
      <x:c r="G5" s="13" t="str">
        <x:v>P0</x:v>
      </x:c>
      <x:c r="H5" s="13" t="str">
        <x:v>V0.6.6-R7.1</x:v>
      </x:c>
      <x:c r="I5" s="13" t="str">
        <x:v>Validé</x:v>
      </x:c>
      <x:c r="J5" s="13" t="str">
        <x:v>#26</x:v>
      </x:c>
      <x:c r="K5" s="13" t="str">
        <x:v>EPIC Patrimoine</x:v>
      </x:c>
      <x:c r="L5" s="13" t="str">
        <x:v>VV-PAT-001; VV-PAT-002</x:v>
      </x:c>
      <x:c r="M5" s="13" t="str">
        <x:v>Patrimoine net = actifs - passifs dans toutes les vues.</x:v>
      </x:c>
      <x:c r="N5" s="13" t="str">
        <x:v>Recette R7.1 - PAT-04</x:v>
      </x:c>
      <x:c r="O5" s="16" t="n">
        <x:v>46222</x:v>
      </x:c>
    </x:row>
    <x:row r="6">
      <x:c r="A6" s="13" t="str">
        <x:v>VV-PAT-004</x:v>
      </x:c>
      <x:c r="B6" s="13" t="str">
        <x:v>Patrimoine</x:v>
      </x:c>
      <x:c r="C6" s="13" t="str">
        <x:v>Patrimoine</x:v>
      </x:c>
      <x:c r="D6" s="13" t="str">
        <x:v>Bug</x:v>
      </x:c>
      <x:c r="E6" s="13" t="str">
        <x:v>Rendre le bouton Voir historique opérationnel</x:v>
      </x:c>
      <x:c r="F6" s="13" t="str">
        <x:v>Afficher l'historique de valorisation depuis la synthèse intelligente.</x:v>
      </x:c>
      <x:c r="G6" s="13" t="str">
        <x:v>P0</x:v>
      </x:c>
      <x:c r="H6" s="13" t="str">
        <x:v>V0.6.6-R7.1</x:v>
      </x:c>
      <x:c r="I6" s="13" t="str">
        <x:v>Validé</x:v>
      </x:c>
      <x:c r="J6" s="13" t="str">
        <x:v>À renseigner</x:v>
      </x:c>
      <x:c r="K6" s="13" t="str">
        <x:v>EPIC Patrimoine</x:v>
      </x:c>
      <x:c r="L6" s="13" t="str">
        <x:v>VV-PAT-001</x:v>
      </x:c>
      <x:c r="M6" s="13" t="str">
        <x:v>Effet visible, données datées cohérentes, persistance, aucun crash.</x:v>
      </x:c>
      <x:c r="N6" s="13" t="str">
        <x:v>Recette R7.1 - PAT-05 à PAT-07</x:v>
      </x:c>
      <x:c r="O6" s="16" t="n">
        <x:v>46222</x:v>
      </x:c>
    </x:row>
    <x:row r="7">
      <x:c r="A7" s="13" t="str">
        <x:v>VV-PAT-005</x:v>
      </x:c>
      <x:c r="B7" s="13" t="str">
        <x:v>Patrimoine</x:v>
      </x:c>
      <x:c r="C7" s="13" t="str">
        <x:v>Patrimoine</x:v>
      </x:c>
      <x:c r="D7" s="13" t="str">
        <x:v>UX</x:v>
      </x:c>
      <x:c r="E7" s="13" t="str">
        <x:v>Afficher la date dans les listes Actifs et Passifs</x:v>
      </x:c>
      <x:c r="F7" s="13" t="str">
        <x:v>Ajouter une colonne ou information de date de valorisation directement visible.</x:v>
      </x:c>
      <x:c r="G7" s="13" t="str">
        <x:v>P2</x:v>
      </x:c>
      <x:c r="H7" s="13" t="str">
        <x:v>V0.6.6-R7.3</x:v>
      </x:c>
      <x:c r="I7" s="13" t="str">
        <x:v>À faire</x:v>
      </x:c>
      <x:c r="J7" s="13" t="str">
        <x:v>À créer</x:v>
      </x:c>
      <x:c r="K7" s="13" t="str">
        <x:v>EPIC Patrimoine</x:v>
      </x:c>
      <x:c r="L7" s="13" t="str">
        <x:v>VV-PAT-004</x:v>
      </x:c>
      <x:c r="M7" s="13" t="str">
        <x:v>La date de référence est visible sans ouvrir la fiche.</x:v>
      </x:c>
      <x:c r="N7" s="13" t="str">
        <x:v>Réserve UX PAT-05</x:v>
      </x:c>
      <x:c r="O7" s="16" t="n">
        <x:v>46222</x:v>
      </x:c>
    </x:row>
    <x:row r="8">
      <x:c r="A8" s="13" t="str">
        <x:v>VV-PAT-006</x:v>
      </x:c>
      <x:c r="B8" s="13" t="str">
        <x:v>Patrimoine</x:v>
      </x:c>
      <x:c r="C8" s="13" t="str">
        <x:v>Patrimoine</x:v>
      </x:c>
      <x:c r="D8" s="13" t="str">
        <x:v>UX</x:v>
      </x:c>
      <x:c r="E8" s="13" t="str">
        <x:v>Élargir les colonnes de l'historique patrimonial</x:v>
      </x:c>
      <x:c r="F8" s="13" t="str">
        <x:v>Corriger les colonnes tronquées dans la fenêtre ou le tableau d'historique.</x:v>
      </x:c>
      <x:c r="G8" s="13" t="str">
        <x:v>P1</x:v>
      </x:c>
      <x:c r="H8" s="13" t="str">
        <x:v>V0.6.6-R7.2</x:v>
      </x:c>
      <x:c r="I8" s="13" t="str">
        <x:v>À faire</x:v>
      </x:c>
      <x:c r="J8" s="13" t="str">
        <x:v>À créer</x:v>
      </x:c>
      <x:c r="K8" s="13" t="str">
        <x:v>EPIC Patrimoine</x:v>
      </x:c>
      <x:c r="L8" s="13" t="str">
        <x:v>VV-PAT-004</x:v>
      </x:c>
      <x:c r="M8" s="13" t="str">
        <x:v>Toutes les colonnes et valeurs sont lisibles à largeur d'écran standard.</x:v>
      </x:c>
      <x:c r="N8" s="13" t="str">
        <x:v>Réserve UX PAT-06</x:v>
      </x:c>
      <x:c r="O8" s="16" t="n">
        <x:v>46222</x:v>
      </x:c>
    </x:row>
    <x:row r="9">
      <x:c r="A9" s="13" t="str">
        <x:v>VV-RAP-001</x:v>
      </x:c>
      <x:c r="B9" s="13" t="str">
        <x:v>Rapprochements</x:v>
      </x:c>
      <x:c r="C9" s="13" t="str">
        <x:v>Rapprochements</x:v>
      </x:c>
      <x:c r="D9" s="13" t="str">
        <x:v>Bug</x:v>
      </x:c>
      <x:c r="E9" s="13" t="str">
        <x:v>Afficher les transactions manuelles dans les rapprochements</x:v>
      </x:c>
      <x:c r="F9" s="13" t="str">
        <x:v>Inclure les transactions créées manuellement lorsqu'elles sont éligibles au rapprochement.</x:v>
      </x:c>
      <x:c r="G9" s="13" t="str">
        <x:v>P0</x:v>
      </x:c>
      <x:c r="H9" s="13" t="str">
        <x:v>V0.6.6-R7.1</x:v>
      </x:c>
      <x:c r="I9" s="13" t="str">
        <x:v>À retester</x:v>
      </x:c>
      <x:c r="J9" s="13" t="str">
        <x:v>#15</x:v>
      </x:c>
      <x:c r="K9" s="13" t="str">
        <x:v>EPIC Rapprochements</x:v>
      </x:c>
      <x:c r="L9" s="13" t="str">
        <x:v>—</x:v>
      </x:c>
      <x:c r="M9" s="13" t="str">
        <x:v>Les transactions manuelles apparaissent et peuvent être liées à une occurrence.</x:v>
      </x:c>
      <x:c r="N9" s="13" t="str">
        <x:v>Matrice R7.1</x:v>
      </x:c>
      <x:c r="O9" s="16" t="n">
        <x:v>46222</x:v>
      </x:c>
    </x:row>
    <x:row r="10">
      <x:c r="A10" s="13" t="str">
        <x:v>VV-RAP-002</x:v>
      </x:c>
      <x:c r="B10" s="13" t="str">
        <x:v>Rapprochements</x:v>
      </x:c>
      <x:c r="C10" s="13" t="str">
        <x:v>Rapprochements</x:v>
      </x:c>
      <x:c r="D10" s="13" t="str">
        <x:v>Bug</x:v>
      </x:c>
      <x:c r="E10" s="13" t="str">
        <x:v>Cohérence du marquage des retards</x:v>
      </x:c>
      <x:c r="F10" s="13" t="str">
        <x:v>Aligner l'action Marquer les retards, les statuts de lignes et le compteur En retard.</x:v>
      </x:c>
      <x:c r="G10" s="13" t="str">
        <x:v>P0</x:v>
      </x:c>
      <x:c r="H10" s="13" t="str">
        <x:v>V0.6.6-R7.1</x:v>
      </x:c>
      <x:c r="I10" s="13" t="str">
        <x:v>À retester</x:v>
      </x:c>
      <x:c r="J10" s="13" t="str">
        <x:v>#17</x:v>
      </x:c>
      <x:c r="K10" s="13" t="str">
        <x:v>EPIC Rapprochements</x:v>
      </x:c>
      <x:c r="L10" s="13" t="str">
        <x:v>—</x:v>
      </x:c>
      <x:c r="M10" s="13" t="str">
        <x:v>Le nombre de retards est identique dans les listes, compteurs et après redémarrage.</x:v>
      </x:c>
      <x:c r="N10" s="13" t="str">
        <x:v>Matrice R7.1</x:v>
      </x:c>
      <x:c r="O10" s="16" t="n">
        <x:v>46222</x:v>
      </x:c>
    </x:row>
    <x:row r="11">
      <x:c r="A11" s="13" t="str">
        <x:v>VV-RAP-003</x:v>
      </x:c>
      <x:c r="B11" s="13" t="str">
        <x:v>Rapprochements</x:v>
      </x:c>
      <x:c r="C11" s="13" t="str">
        <x:v>Rapprochements</x:v>
      </x:c>
      <x:c r="D11" s="13" t="str">
        <x:v>Bug</x:v>
      </x:c>
      <x:c r="E11" s="13" t="str">
        <x:v>Effet visible de Confirmer occurrence</x:v>
      </x:c>
      <x:c r="F11" s="13" t="str">
        <x:v>La confirmation doit modifier le statut, les compteurs et persister.</x:v>
      </x:c>
      <x:c r="G11" s="13" t="str">
        <x:v>P0</x:v>
      </x:c>
      <x:c r="H11" s="13" t="str">
        <x:v>V0.6.6-R7.1</x:v>
      </x:c>
      <x:c r="I11" s="13" t="str">
        <x:v>À retester</x:v>
      </x:c>
      <x:c r="J11" s="13" t="str">
        <x:v>#18</x:v>
      </x:c>
      <x:c r="K11" s="13" t="str">
        <x:v>EPIC Rapprochements</x:v>
      </x:c>
      <x:c r="L11" s="13" t="str">
        <x:v>—</x:v>
      </x:c>
      <x:c r="M11" s="13" t="str">
        <x:v>Statut changé immédiatement, compteurs recalculés, état conservé après redémarrage.</x:v>
      </x:c>
      <x:c r="N11" s="13" t="str">
        <x:v>Matrice R7.1</x:v>
      </x:c>
      <x:c r="O11" s="16" t="n">
        <x:v>46222</x:v>
      </x:c>
    </x:row>
    <x:row r="12">
      <x:c r="A12" s="13" t="str">
        <x:v>VV-RAP-004</x:v>
      </x:c>
      <x:c r="B12" s="13" t="str">
        <x:v>Gestion des comptes</x:v>
      </x:c>
      <x:c r="C12" s="13" t="str">
        <x:v>Comptes / Rapprochements</x:v>
      </x:c>
      <x:c r="D12" s="13" t="str">
        <x:v>Bug</x:v>
      </x:c>
      <x:c r="E12" s="13" t="str">
        <x:v>Rafraîchir la liste des comptes après création</x:v>
      </x:c>
      <x:c r="F12" s="13" t="str">
        <x:v>Un compte créé dans Comptes doit apparaître immédiatement dans Rapprochements sans redémarrage.</x:v>
      </x:c>
      <x:c r="G12" s="13" t="str">
        <x:v>P1</x:v>
      </x:c>
      <x:c r="H12" s="13" t="str">
        <x:v>V0.6.6-R7.2</x:v>
      </x:c>
      <x:c r="I12" s="13" t="str">
        <x:v>À corriger</x:v>
      </x:c>
      <x:c r="J12" s="13" t="str">
        <x:v>À créer</x:v>
      </x:c>
      <x:c r="K12" s="13" t="str">
        <x:v>EPIC Gestion des comptes</x:v>
      </x:c>
      <x:c r="L12" s="13" t="str">
        <x:v>—</x:v>
      </x:c>
      <x:c r="M12" s="13" t="str">
        <x:v>Création, modification, archivage ou suppression d'un compte actualise toutes les listes concernées.</x:v>
      </x:c>
      <x:c r="N12" s="13" t="str">
        <x:v>Anomalie détectée le 19/07/2026</x:v>
      </x:c>
      <x:c r="O12" s="16" t="n">
        <x:v>46222</x:v>
      </x:c>
    </x:row>
    <x:row r="13">
      <x:c r="A13" s="13" t="str">
        <x:v>VV-RAP-005</x:v>
      </x:c>
      <x:c r="B13" s="13" t="str">
        <x:v>Rapprochements</x:v>
      </x:c>
      <x:c r="C13" s="13" t="str">
        <x:v>Rapprochements</x:v>
      </x:c>
      <x:c r="D13" s="13" t="str">
        <x:v>UX</x:v>
      </x:c>
      <x:c r="E13" s="13" t="str">
        <x:v>Corriger les colonnes tronquées</x:v>
      </x:c>
      <x:c r="F13" s="13" t="str">
        <x:v>Améliorer largeur, alignement et redimensionnement des colonnes de transactions et récurrences.</x:v>
      </x:c>
      <x:c r="G13" s="13" t="str">
        <x:v>P1</x:v>
      </x:c>
      <x:c r="H13" s="13" t="str">
        <x:v>V0.6.6-R7.2</x:v>
      </x:c>
      <x:c r="I13" s="13" t="str">
        <x:v>À faire</x:v>
      </x:c>
      <x:c r="J13" s="13" t="str">
        <x:v>#13</x:v>
      </x:c>
      <x:c r="K13" s="13" t="str">
        <x:v>EPIC Rapprochements</x:v>
      </x:c>
      <x:c r="L13" s="13" t="str">
        <x:v>—</x:v>
      </x:c>
      <x:c r="M13" s="13" t="str">
        <x:v>Toutes les informations essentielles restent lisibles et les colonnes peuvent être redimensionnées.</x:v>
      </x:c>
      <x:c r="N13" s="13" t="str">
        <x:v>Matrice R7.1</x:v>
      </x:c>
      <x:c r="O13" s="16" t="n">
        <x:v>46222</x:v>
      </x:c>
    </x:row>
    <x:row r="14">
      <x:c r="A14" s="13" t="str">
        <x:v>VV-RAP-006</x:v>
      </x:c>
      <x:c r="B14" s="13" t="str">
        <x:v>Rapprochements</x:v>
      </x:c>
      <x:c r="C14" s="13" t="str">
        <x:v>Rapprochements</x:v>
      </x:c>
      <x:c r="D14" s="13" t="str">
        <x:v>UX</x:v>
      </x:c>
      <x:c r="E14" s="13" t="str">
        <x:v>Filtrer par statut et masquer les lignes traitées</x:v>
      </x:c>
      <x:c r="F14" s="13" t="str">
        <x:v>Ajouter des filtres cohérents pour Prévue, Rapprochée, Confirmée, À vérifier, En retard et Ignorée.</x:v>
      </x:c>
      <x:c r="G14" s="13" t="str">
        <x:v>P2</x:v>
      </x:c>
      <x:c r="H14" s="13" t="str">
        <x:v>V0.6.6-R7.3</x:v>
      </x:c>
      <x:c r="I14" s="13" t="str">
        <x:v>À faire</x:v>
      </x:c>
      <x:c r="J14" s="13" t="str">
        <x:v>À créer</x:v>
      </x:c>
      <x:c r="K14" s="13" t="str">
        <x:v>EPIC Rapprochements</x:v>
      </x:c>
      <x:c r="L14" s="13" t="str">
        <x:v>VV-RAP-001; VV-RAP-002; VV-RAP-003</x:v>
      </x:c>
      <x:c r="M14" s="13" t="str">
        <x:v>Le filtre affiche uniquement le statut choisi et peut masquer les éléments terminés.</x:v>
      </x:c>
      <x:c r="N14" s="13" t="str">
        <x:v>Matrice R7.1</x:v>
      </x:c>
      <x:c r="O14" s="16" t="n">
        <x:v>46222</x:v>
      </x:c>
    </x:row>
    <x:row r="15">
      <x:c r="A15" s="13" t="str">
        <x:v>VV-PREV-001</x:v>
      </x:c>
      <x:c r="B15" s="13" t="str">
        <x:v>Prévisionnel</x:v>
      </x:c>
      <x:c r="C15" s="13" t="str">
        <x:v>Prévisionnel</x:v>
      </x:c>
      <x:c r="D15" s="13" t="str">
        <x:v>Bug</x:v>
      </x:c>
      <x:c r="E15" s="13" t="str">
        <x:v>Créer un événement ponctuel prévisionnel</x:v>
      </x:c>
      <x:c r="F15" s="13" t="str">
        <x:v>Permettre la création d'une occurrence unique à une date déterminée.</x:v>
      </x:c>
      <x:c r="G15" s="13" t="str">
        <x:v>P0</x:v>
      </x:c>
      <x:c r="H15" s="13" t="str">
        <x:v>V0.6.6-R7.1</x:v>
      </x:c>
      <x:c r="I15" s="13" t="str">
        <x:v>À retester</x:v>
      </x:c>
      <x:c r="J15" s="13" t="str">
        <x:v>#10</x:v>
      </x:c>
      <x:c r="K15" s="13" t="str">
        <x:v>EPIC Prévisionnel</x:v>
      </x:c>
      <x:c r="L15" s="13" t="str">
        <x:v>—</x:v>
      </x:c>
      <x:c r="M15" s="13" t="str">
        <x:v>L'événement apparaît au bon jour et impacte correctement le solde prévisionnel.</x:v>
      </x:c>
      <x:c r="N15" s="13" t="str">
        <x:v>Matrice R7.1</x:v>
      </x:c>
      <x:c r="O15" s="16" t="n">
        <x:v>46222</x:v>
      </x:c>
    </x:row>
    <x:row r="16">
      <x:c r="A16" s="13" t="str">
        <x:v>VV-SCE-001</x:v>
      </x:c>
      <x:c r="B16" s="13" t="str">
        <x:v>Scénarios</x:v>
      </x:c>
      <x:c r="C16" s="13" t="str">
        <x:v>Prévisionnel / Scénarios</x:v>
      </x:c>
      <x:c r="D16" s="13" t="str">
        <x:v>Bug</x:v>
      </x:c>
      <x:c r="E16" s="13" t="str">
        <x:v>Connecter le scénario sélectionné au prévisionnel</x:v>
      </x:c>
      <x:c r="F16" s="13" t="str">
        <x:v>Le changement de scénario doit modifier réellement la courbe et les indicateurs.</x:v>
      </x:c>
      <x:c r="G16" s="13" t="str">
        <x:v>P0</x:v>
      </x:c>
      <x:c r="H16" s="13" t="str">
        <x:v>V0.6.6-R7.1</x:v>
      </x:c>
      <x:c r="I16" s="13" t="str">
        <x:v>À retester</x:v>
      </x:c>
      <x:c r="J16" s="13" t="str">
        <x:v>#11</x:v>
      </x:c>
      <x:c r="K16" s="13" t="str">
        <x:v>EPIC Scénarios</x:v>
      </x:c>
      <x:c r="L16" s="13" t="str">
        <x:v>VV-PREV-001</x:v>
      </x:c>
      <x:c r="M16" s="13" t="str">
        <x:v>Chaque scénario produit un résultat distinct, explicable et persistant.</x:v>
      </x:c>
      <x:c r="N16" s="13" t="str">
        <x:v>Matrice R7.1</x:v>
      </x:c>
      <x:c r="O16" s="16" t="n">
        <x:v>46222</x:v>
      </x:c>
    </x:row>
    <x:row r="17">
      <x:c r="A17" s="13" t="str">
        <x:v>VV-SCE-002</x:v>
      </x:c>
      <x:c r="B17" s="13" t="str">
        <x:v>Scénarios</x:v>
      </x:c>
      <x:c r="C17" s="13" t="str">
        <x:v>Prévisionnel / Scénarios</x:v>
      </x:c>
      <x:c r="D17" s="13" t="str">
        <x:v>Bug</x:v>
      </x:c>
      <x:c r="E17" s="13" t="str">
        <x:v>Corriger l'impact des événements de scénario</x:v>
      </x:c>
      <x:c r="F17" s="13" t="str">
        <x:v>Rendre cohérents les effets trésorerie et patrimoine des événements, notamment les achats d'actifs.</x:v>
      </x:c>
      <x:c r="G17" s="13" t="str">
        <x:v>P0</x:v>
      </x:c>
      <x:c r="H17" s="13" t="str">
        <x:v>V0.6.6-R7.1</x:v>
      </x:c>
      <x:c r="I17" s="13" t="str">
        <x:v>À retester</x:v>
      </x:c>
      <x:c r="J17" s="13" t="str">
        <x:v>#21</x:v>
      </x:c>
      <x:c r="K17" s="13" t="str">
        <x:v>EPIC Scénarios</x:v>
      </x:c>
      <x:c r="L17" s="13" t="str">
        <x:v>VV-SCE-001</x:v>
      </x:c>
      <x:c r="M17" s="13" t="str">
        <x:v>Les flux, actifs, passifs et soldes évoluent sans double comptage.</x:v>
      </x:c>
      <x:c r="N17" s="13" t="str">
        <x:v>Matrice R7.1</x:v>
      </x:c>
      <x:c r="O17" s="16" t="n">
        <x:v>46222</x:v>
      </x:c>
    </x:row>
    <x:row r="18">
      <x:c r="A18" s="13" t="str">
        <x:v>VV-SCE-003</x:v>
      </x:c>
      <x:c r="B18" s="13" t="str">
        <x:v>Scénarios</x:v>
      </x:c>
      <x:c r="C18" s="13" t="str">
        <x:v>Prévisionnel / Scénarios</x:v>
      </x:c>
      <x:c r="D18" s="13" t="str">
        <x:v>UX</x:v>
      </x:c>
      <x:c r="E18" s="13" t="str">
        <x:v>Harmoniser les listes de scénarios</x:v>
      </x:c>
      <x:c r="F18" s="13" t="str">
        <x:v>Aligner l'affichage, les colonnes, les sélections et les menus avec le modèle Transactions.</x:v>
      </x:c>
      <x:c r="G18" s="13" t="str">
        <x:v>P2</x:v>
      </x:c>
      <x:c r="H18" s="13" t="str">
        <x:v>V0.6.6-R7.3</x:v>
      </x:c>
      <x:c r="I18" s="13" t="str">
        <x:v>À faire</x:v>
      </x:c>
      <x:c r="J18" s="13" t="str">
        <x:v>À créer</x:v>
      </x:c>
      <x:c r="K18" s="13" t="str">
        <x:v>EPIC Scénarios</x:v>
      </x:c>
      <x:c r="L18" s="13" t="str">
        <x:v>—</x:v>
      </x:c>
      <x:c r="M18" s="13" t="str">
        <x:v>Listes lisibles, sélection par ligne et actions contextuelles cohérentes.</x:v>
      </x:c>
      <x:c r="N18" s="13" t="str">
        <x:v>Matrice R7.1</x:v>
      </x:c>
      <x:c r="O18" s="16" t="n">
        <x:v>46222</x:v>
      </x:c>
    </x:row>
    <x:row r="19">
      <x:c r="A19" s="13" t="str">
        <x:v>VV-CAT-001</x:v>
      </x:c>
      <x:c r="B19" s="13" t="str">
        <x:v>Règles automatiques</x:v>
      </x:c>
      <x:c r="C19" s="13" t="str">
        <x:v>Transactions / Règles auto</x:v>
      </x:c>
      <x:c r="D19" s="13" t="str">
        <x:v>Bug</x:v>
      </x:c>
      <x:c r="E19" s="13" t="str">
        <x:v>Appliquer manuellement une règle de catégorisation</x:v>
      </x:c>
      <x:c r="F19" s="13" t="str">
        <x:v>Permettre d'exécuter une règle existante sur une ou plusieurs transactions.</x:v>
      </x:c>
      <x:c r="G19" s="13" t="str">
        <x:v>P0</x:v>
      </x:c>
      <x:c r="H19" s="13" t="str">
        <x:v>V0.6.6-R7.1</x:v>
      </x:c>
      <x:c r="I19" s="13" t="str">
        <x:v>À retester</x:v>
      </x:c>
      <x:c r="J19" s="13" t="str">
        <x:v>#12</x:v>
      </x:c>
      <x:c r="K19" s="13" t="str">
        <x:v>EPIC Règles automatiques</x:v>
      </x:c>
      <x:c r="L19" s="13" t="str">
        <x:v>—</x:v>
      </x:c>
      <x:c r="M19" s="13" t="str">
        <x:v>La règle s'applique, trace son origine et actualise immédiatement la catégorie.</x:v>
      </x:c>
      <x:c r="N19" s="13" t="str">
        <x:v>Matrice R7.1</x:v>
      </x:c>
      <x:c r="O19" s="16" t="n">
        <x:v>46222</x:v>
      </x:c>
    </x:row>
    <x:row r="20">
      <x:c r="A20" s="13" t="str">
        <x:v>VV-CAT-002</x:v>
      </x:c>
      <x:c r="B20" s="13" t="str">
        <x:v>Règles automatiques</x:v>
      </x:c>
      <x:c r="C20" s="13" t="str">
        <x:v>Transactions / Règles auto</x:v>
      </x:c>
      <x:c r="D20" s="13" t="str">
        <x:v>Bug</x:v>
      </x:c>
      <x:c r="E20" s="13" t="str">
        <x:v>Créer une règle depuis une transaction</x:v>
      </x:c>
      <x:c r="F20" s="13" t="str">
        <x:v>Créer une règle préremplie depuis le menu contextuel d'une transaction et la rendre disponible immédiatement.</x:v>
      </x:c>
      <x:c r="G20" s="13" t="str">
        <x:v>P0</x:v>
      </x:c>
      <x:c r="H20" s="13" t="str">
        <x:v>V0.6.6-R7.1</x:v>
      </x:c>
      <x:c r="I20" s="13" t="str">
        <x:v>À retester</x:v>
      </x:c>
      <x:c r="J20" s="13" t="str">
        <x:v>#9</x:v>
      </x:c>
      <x:c r="K20" s="13" t="str">
        <x:v>EPIC Règles automatiques</x:v>
      </x:c>
      <x:c r="L20" s="13" t="str">
        <x:v>—</x:v>
      </x:c>
      <x:c r="M20" s="13" t="str">
        <x:v>La règle apparaît sans redémarrage, peut être ajustée et appliquée.</x:v>
      </x:c>
      <x:c r="N20" s="13" t="str">
        <x:v>Matrice R7.1</x:v>
      </x:c>
      <x:c r="O20" s="16" t="n">
        <x:v>46222</x:v>
      </x:c>
    </x:row>
    <x:row r="21">
      <x:c r="A21" s="13" t="str">
        <x:v>VV-CPT-001</x:v>
      </x:c>
      <x:c r="B21" s="13" t="str">
        <x:v>Gestion des comptes</x:v>
      </x:c>
      <x:c r="C21" s="13" t="str">
        <x:v>Comptes</x:v>
      </x:c>
      <x:c r="D21" s="13" t="str">
        <x:v>Feature</x:v>
      </x:c>
      <x:c r="E21" s="13" t="str">
        <x:v>Ajouter un menu contextuel complet sur les comptes</x:v>
      </x:c>
      <x:c r="F21" s="13" t="str">
        <x:v>Regrouper les actions Ouvrir, Modifier, Voir transactions, Importer, Mettre à jour le solde initial, Archiver et Supprimer.</x:v>
      </x:c>
      <x:c r="G21" s="13" t="str">
        <x:v>P1</x:v>
      </x:c>
      <x:c r="H21" s="13" t="str">
        <x:v>V0.6.7</x:v>
      </x:c>
      <x:c r="I21" s="13" t="str">
        <x:v>À faire</x:v>
      </x:c>
      <x:c r="J21" s="13" t="str">
        <x:v>À créer</x:v>
      </x:c>
      <x:c r="K21" s="13" t="str">
        <x:v>EPIC Gestion des comptes</x:v>
      </x:c>
      <x:c r="L21" s="13" t="str">
        <x:v>—</x:v>
      </x:c>
      <x:c r="M21" s="13" t="str">
        <x:v>Clic droit et bouton ⋮ ouvrent le même menu; actions activées selon le contexte.</x:v>
      </x:c>
      <x:c r="N21" s="13" t="str">
        <x:v>Décision produit 19/07/2026</x:v>
      </x:c>
      <x:c r="O21" s="16" t="n">
        <x:v>46222</x:v>
      </x:c>
    </x:row>
    <x:row r="22">
      <x:c r="A22" s="13" t="str">
        <x:v>VV-CPT-002</x:v>
      </x:c>
      <x:c r="B22" s="13" t="str">
        <x:v>Gestion des comptes</x:v>
      </x:c>
      <x:c r="C22" s="13" t="str">
        <x:v>Comptes</x:v>
      </x:c>
      <x:c r="D22" s="13" t="str">
        <x:v>Feature</x:v>
      </x:c>
      <x:c r="E22" s="13" t="str">
        <x:v>Modifier un compte bancaire</x:v>
      </x:c>
      <x:c r="F22" s="13" t="str">
        <x:v>Réutiliser le formulaire de création prérempli pour modifier nom, banque, type, identifiant, devise future et statut.</x:v>
      </x:c>
      <x:c r="G22" s="13" t="str">
        <x:v>P1</x:v>
      </x:c>
      <x:c r="H22" s="13" t="str">
        <x:v>V0.6.7</x:v>
      </x:c>
      <x:c r="I22" s="13" t="str">
        <x:v>À faire</x:v>
      </x:c>
      <x:c r="J22" s="13" t="str">
        <x:v>À créer</x:v>
      </x:c>
      <x:c r="K22" s="13" t="str">
        <x:v>EPIC Gestion des comptes</x:v>
      </x:c>
      <x:c r="L22" s="13" t="str">
        <x:v>VV-CPT-001</x:v>
      </x:c>
      <x:c r="M22" s="13" t="str">
        <x:v>Toutes les informations hors solde actuel sont modifiables; modification visible partout immédiatement.</x:v>
      </x:c>
      <x:c r="N22" s="13" t="str">
        <x:v>Décision produit 19/07/2026</x:v>
      </x:c>
      <x:c r="O22" s="16" t="n">
        <x:v>46222</x:v>
      </x:c>
    </x:row>
    <x:row r="23">
      <x:c r="A23" s="13" t="str">
        <x:v>VV-CPT-003</x:v>
      </x:c>
      <x:c r="B23" s="13" t="str">
        <x:v>Gestion des comptes</x:v>
      </x:c>
      <x:c r="C23" s="13" t="str">
        <x:v>Comptes</x:v>
      </x:c>
      <x:c r="D23" s="13" t="str">
        <x:v>Feature</x:v>
      </x:c>
      <x:c r="E23" s="13" t="str">
        <x:v>Archiver un compte bancaire</x:v>
      </x:c>
      <x:c r="F23" s="13" t="str">
        <x:v>Ajouter le statut Actif/Archivé et masquer les comptes archivés des listes courantes tout en conservant leur historique.</x:v>
      </x:c>
      <x:c r="G23" s="13" t="str">
        <x:v>P1</x:v>
      </x:c>
      <x:c r="H23" s="13" t="str">
        <x:v>V0.6.7</x:v>
      </x:c>
      <x:c r="I23" s="13" t="str">
        <x:v>À faire</x:v>
      </x:c>
      <x:c r="J23" s="13" t="str">
        <x:v>À créer</x:v>
      </x:c>
      <x:c r="K23" s="13" t="str">
        <x:v>EPIC Gestion des comptes</x:v>
      </x:c>
      <x:c r="L23" s="13" t="str">
        <x:v>VV-CPT-001; VV-CPT-002</x:v>
      </x:c>
      <x:c r="M23" s="13" t="str">
        <x:v>Compte archivé exclu des nouvelles opérations mais conservé dans historiques et rapports.</x:v>
      </x:c>
      <x:c r="N23" s="13" t="str">
        <x:v>Décision produit 19/07/2026</x:v>
      </x:c>
      <x:c r="O23" s="16" t="n">
        <x:v>46222</x:v>
      </x:c>
    </x:row>
    <x:row r="24">
      <x:c r="A24" s="13" t="str">
        <x:v>VV-CPT-004</x:v>
      </x:c>
      <x:c r="B24" s="13" t="str">
        <x:v>Gestion des comptes</x:v>
      </x:c>
      <x:c r="C24" s="13" t="str">
        <x:v>Comptes</x:v>
      </x:c>
      <x:c r="D24" s="13" t="str">
        <x:v>Feature</x:v>
      </x:c>
      <x:c r="E24" s="13" t="str">
        <x:v>Sécuriser la suppression d'un compte</x:v>
      </x:c>
      <x:c r="F24" s="13" t="str">
        <x:v>Autoriser la suppression définitive uniquement si le compte ne contient aucune donnée liée; sinon proposer l'archivage.</x:v>
      </x:c>
      <x:c r="G24" s="13" t="str">
        <x:v>P1</x:v>
      </x:c>
      <x:c r="H24" s="13" t="str">
        <x:v>V0.6.7</x:v>
      </x:c>
      <x:c r="I24" s="13" t="str">
        <x:v>À faire</x:v>
      </x:c>
      <x:c r="J24" s="13" t="str">
        <x:v>À créer</x:v>
      </x:c>
      <x:c r="K24" s="13" t="str">
        <x:v>EPIC Gestion des comptes</x:v>
      </x:c>
      <x:c r="L24" s="13" t="str">
        <x:v>VV-CPT-003</x:v>
      </x:c>
      <x:c r="M24" s="13" t="str">
        <x:v>Contrôles sur transactions, imports, rapprochements, récurrences et historiques; message explicite.</x:v>
      </x:c>
      <x:c r="N24" s="13" t="str">
        <x:v>Décision produit 19/07/2026</x:v>
      </x:c>
      <x:c r="O24" s="16" t="n">
        <x:v>46222</x:v>
      </x:c>
    </x:row>
    <x:row r="25">
      <x:c r="A25" s="13" t="str">
        <x:v>VV-CPT-005</x:v>
      </x:c>
      <x:c r="B25" s="13" t="str">
        <x:v>Gestion des comptes</x:v>
      </x:c>
      <x:c r="C25" s="13" t="str">
        <x:v>Comptes</x:v>
      </x:c>
      <x:c r="D25" s="13" t="str">
        <x:v>Feature</x:v>
      </x:c>
      <x:c r="E25" s="13" t="str">
        <x:v>Filtrer les comptes actifs et archivés</x:v>
      </x:c>
      <x:c r="F25" s="13" t="str">
        <x:v>Ajouter les filtres Tous, Actifs et Archivés et une action de restauration d'un compte archivé.</x:v>
      </x:c>
      <x:c r="G25" s="13" t="str">
        <x:v>P2</x:v>
      </x:c>
      <x:c r="H25" s="13" t="str">
        <x:v>V0.6.7</x:v>
      </x:c>
      <x:c r="I25" s="13" t="str">
        <x:v>À faire</x:v>
      </x:c>
      <x:c r="J25" s="13" t="str">
        <x:v>À créer</x:v>
      </x:c>
      <x:c r="K25" s="13" t="str">
        <x:v>EPIC Gestion des comptes</x:v>
      </x:c>
      <x:c r="L25" s="13" t="str">
        <x:v>VV-CPT-003</x:v>
      </x:c>
      <x:c r="M25" s="13" t="str">
        <x:v>Filtres cohérents; restauration remet le compte à disposition sans perte.</x:v>
      </x:c>
      <x:c r="N25" s="13" t="str">
        <x:v>Décision produit 19/07/2026</x:v>
      </x:c>
      <x:c r="O25" s="16" t="n">
        <x:v>46222</x:v>
      </x:c>
    </x:row>
    <x:row r="26">
      <x:c r="A26" s="13" t="str">
        <x:v>VV-CPT-006</x:v>
      </x:c>
      <x:c r="B26" s="13" t="str">
        <x:v>Gestion des comptes</x:v>
      </x:c>
      <x:c r="C26" s="13" t="str">
        <x:v>Architecture</x:v>
      </x:c>
      <x:c r="D26" s="13" t="str">
        <x:v>Tech</x:v>
      </x:c>
      <x:c r="E26" s="13" t="str">
        <x:v>Centraliser les changements de comptes dans AccountService</x:v>
      </x:c>
      <x:c r="F26" s="13" t="str">
        <x:v>Émettre des événements lors des créations, modifications, archivages, restaurations et suppressions afin de synchroniser les modules.</x:v>
      </x:c>
      <x:c r="G26" s="13" t="str">
        <x:v>P1</x:v>
      </x:c>
      <x:c r="H26" s="13" t="str">
        <x:v>V0.6.7</x:v>
      </x:c>
      <x:c r="I26" s="13" t="str">
        <x:v>À faire</x:v>
      </x:c>
      <x:c r="J26" s="13" t="str">
        <x:v>À créer</x:v>
      </x:c>
      <x:c r="K26" s="13" t="str">
        <x:v>EPIC Gestion des comptes</x:v>
      </x:c>
      <x:c r="L26" s="13" t="str">
        <x:v>VV-RAP-004</x:v>
      </x:c>
      <x:c r="M26" s="13" t="str">
        <x:v>Tous les modules rechargent leur modèle de comptes sans redémarrage et sans duplication de logique.</x:v>
      </x:c>
      <x:c r="N26" s="13" t="str">
        <x:v>Décision technique proposée</x:v>
      </x:c>
      <x:c r="O26" s="16" t="n">
        <x:v>46222</x:v>
      </x:c>
    </x:row>
    <x:row r="27">
      <x:c r="A27" s="13" t="str">
        <x:v>VV-CPT-007</x:v>
      </x:c>
      <x:c r="B27" s="13" t="str">
        <x:v>Gestion des comptes</x:v>
      </x:c>
      <x:c r="C27" s="13" t="str">
        <x:v>Tests</x:v>
      </x:c>
      <x:c r="D27" s="13" t="str">
        <x:v>Test</x:v>
      </x:c>
      <x:c r="E27" s="13" t="str">
        <x:v>Ajouter des tests d'intégration transverses sur les comptes</x:v>
      </x:c>
      <x:c r="F27" s="13" t="str">
        <x:v>Vérifier la disponibilité immédiate d'un compte créé/modifié/archivé dans Transactions, Imports, Rapprochements, Prévisionnel et Paramètres.</x:v>
      </x:c>
      <x:c r="G27" s="13" t="str">
        <x:v>P1</x:v>
      </x:c>
      <x:c r="H27" s="13" t="str">
        <x:v>V0.6.7</x:v>
      </x:c>
      <x:c r="I27" s="13" t="str">
        <x:v>À faire</x:v>
      </x:c>
      <x:c r="J27" s="13" t="str">
        <x:v>À créer</x:v>
      </x:c>
      <x:c r="K27" s="13" t="str">
        <x:v>EPIC Gestion des comptes</x:v>
      </x:c>
      <x:c r="L27" s="13" t="str">
        <x:v>VV-CPT-006</x:v>
      </x:c>
      <x:c r="M27" s="13" t="str">
        <x:v>Batterie automatisée ou manuelle documentée; aucun module ne nécessite de redémarrage.</x:v>
      </x:c>
      <x:c r="N27" s="13" t="str">
        <x:v>Anomalie détectée le 19/07/2026</x:v>
      </x:c>
      <x:c r="O27" s="16" t="n">
        <x:v>46222</x:v>
      </x:c>
    </x:row>
    <x:row r="28">
      <x:c r="A28" s="13" t="str">
        <x:v>VV-CPT-008</x:v>
      </x:c>
      <x:c r="B28" s="13" t="str">
        <x:v>Gestion des comptes</x:v>
      </x:c>
      <x:c r="C28" s="13" t="str">
        <x:v>Comptes</x:v>
      </x:c>
      <x:c r="D28" s="13" t="str">
        <x:v>Règle métier</x:v>
      </x:c>
      <x:c r="E28" s="13" t="str">
        <x:v>Séparer solde initial et solde actuel calculé</x:v>
      </x:c>
      <x:c r="F28" s="13" t="str">
        <x:v>Le solde actuel n'est jamais éditable directement. Le solde initial et sa date restent modifiables via une action dédiée avec recalcul complet.</x:v>
      </x:c>
      <x:c r="G28" s="13" t="str">
        <x:v>P0</x:v>
      </x:c>
      <x:c r="H28" s="13" t="str">
        <x:v>V0.6.7</x:v>
      </x:c>
      <x:c r="I28" s="13" t="str">
        <x:v>Planifié</x:v>
      </x:c>
      <x:c r="J28" s="13" t="str">
        <x:v>À créer</x:v>
      </x:c>
      <x:c r="K28" s="13" t="str">
        <x:v>EPIC Gestion des comptes</x:v>
      </x:c>
      <x:c r="L28" s="13" t="str">
        <x:v>—</x:v>
      </x:c>
      <x:c r="M28" s="13" t="str">
        <x:v>Solde actuel = solde initial + transactions postérieures; recalcul cohérent dans toutes les vues.</x:v>
      </x:c>
      <x:c r="N28" s="13" t="str">
        <x:v>Décision métier 19/07/2026</x:v>
      </x:c>
      <x:c r="O28" s="16" t="n">
        <x:v>46222</x:v>
      </x:c>
    </x:row>
    <x:row r="29">
      <x:c r="A29" s="13" t="str">
        <x:v>VV-UX-001</x:v>
      </x:c>
      <x:c r="B29" s="13" t="str">
        <x:v>UX globale</x:v>
      </x:c>
      <x:c r="C29" s="13" t="str">
        <x:v>Tous modules</x:v>
      </x:c>
      <x:c r="D29" s="13" t="str">
        <x:v>Standard UX</x:v>
      </x:c>
      <x:c r="E29" s="13" t="str">
        <x:v>Généraliser les menus contextuels</x:v>
      </x:c>
      <x:c r="F29" s="13" t="str">
        <x:v>Utiliser le clic droit et le bouton ⋮ pour les actions métier sur Comptes, Transactions, Patrimoine, Budgets, Catégories, Récurrences, Scénarios et Investissements.</x:v>
      </x:c>
      <x:c r="G29" s="13" t="str">
        <x:v>P2</x:v>
      </x:c>
      <x:c r="H29" s="13" t="str">
        <x:v>V0.6.7</x:v>
      </x:c>
      <x:c r="I29" s="13" t="str">
        <x:v>À faire</x:v>
      </x:c>
      <x:c r="J29" s="13" t="str">
        <x:v>À créer</x:v>
      </x:c>
      <x:c r="K29" s="13" t="str">
        <x:v>EPIC UX globale</x:v>
      </x:c>
      <x:c r="L29" s="13" t="str">
        <x:v>VV-CPT-001</x:v>
      </x:c>
      <x:c r="M29" s="13" t="str">
        <x:v>Même structure de menu et mêmes conventions visuelles dans tous les modules.</x:v>
      </x:c>
      <x:c r="N29" s="13" t="str">
        <x:v>Décision UX 19/07/2026</x:v>
      </x:c>
      <x:c r="O29" s="16" t="n">
        <x:v>46222</x:v>
      </x:c>
    </x:row>
    <x:row r="30">
      <x:c r="A30" s="13" t="str">
        <x:v>VV-UX-002</x:v>
      </x:c>
      <x:c r="B30" s="13" t="str">
        <x:v>UX globale</x:v>
      </x:c>
      <x:c r="C30" s="13" t="str">
        <x:v>Tous modules</x:v>
      </x:c>
      <x:c r="D30" s="13" t="str">
        <x:v>Standard UX</x:v>
      </x:c>
      <x:c r="E30" s="13" t="str">
        <x:v>Adopter le tableau Transactions comme modèle de référence</x:v>
      </x:c>
      <x:c r="F30" s="13" t="str">
        <x:v>Harmoniser cases à cocher, sélection par ligne, largeur des colonnes, tri, menus contextuels et lisibilité.</x:v>
      </x:c>
      <x:c r="G30" s="13" t="str">
        <x:v>P2</x:v>
      </x:c>
      <x:c r="H30" s="13" t="str">
        <x:v>V0.6.7</x:v>
      </x:c>
      <x:c r="I30" s="13" t="str">
        <x:v>À faire</x:v>
      </x:c>
      <x:c r="J30" s="13" t="str">
        <x:v>À créer</x:v>
      </x:c>
      <x:c r="K30" s="13" t="str">
        <x:v>EPIC UX globale</x:v>
      </x:c>
      <x:c r="L30" s="13" t="str">
        <x:v>—</x:v>
      </x:c>
      <x:c r="M30" s="13" t="str">
        <x:v>Toutes les listes respectent les mêmes règles d'interaction et de présentation.</x:v>
      </x:c>
      <x:c r="N30" s="13" t="str">
        <x:v>Décision UX recette R7.1</x:v>
      </x:c>
      <x:c r="O30" s="16" t="n">
        <x:v>46222</x:v>
      </x:c>
    </x:row>
    <x:row r="31">
      <x:c r="A31" s="13" t="str">
        <x:v>VV-UX-003</x:v>
      </x:c>
      <x:c r="B31" s="13" t="str">
        <x:v>UX globale</x:v>
      </x:c>
      <x:c r="C31" s="13" t="str">
        <x:v>Patrimoine / Comptes / Scénarios</x:v>
      </x:c>
      <x:c r="D31" s="13" t="str">
        <x:v>UX</x:v>
      </x:c>
      <x:c r="E31" s="13" t="str">
        <x:v>Harmoniser les listes et colonnes</x:v>
      </x:c>
      <x:c r="F31" s="13" t="str">
        <x:v>Corriger les colonnes tronquées, les scrolls inutiles et les incohérences de largeur.</x:v>
      </x:c>
      <x:c r="G31" s="13" t="str">
        <x:v>P2</x:v>
      </x:c>
      <x:c r="H31" s="13" t="str">
        <x:v>V0.6.7</x:v>
      </x:c>
      <x:c r="I31" s="13" t="str">
        <x:v>À faire</x:v>
      </x:c>
      <x:c r="J31" s="13" t="str">
        <x:v>À créer</x:v>
      </x:c>
      <x:c r="K31" s="13" t="str">
        <x:v>EPIC UX globale</x:v>
      </x:c>
      <x:c r="L31" s="13" t="str">
        <x:v>VV-UX-002</x:v>
      </x:c>
      <x:c r="M31" s="13" t="str">
        <x:v>Informations principales visibles à 1366x768 et redimensionnement possible.</x:v>
      </x:c>
      <x:c r="N31" s="13" t="str">
        <x:v>Réserves UX R7.1</x:v>
      </x:c>
      <x:c r="O31" s="16" t="n">
        <x:v>46222</x:v>
      </x:c>
    </x:row>
    <x:row r="32">
      <x:c r="A32" s="13" t="str">
        <x:v>VV-BUD-001</x:v>
      </x:c>
      <x:c r="B32" s="13" t="str">
        <x:v>Budgets</x:v>
      </x:c>
      <x:c r="C32" s="13" t="str">
        <x:v>Budget</x:v>
      </x:c>
      <x:c r="D32" s="13" t="str">
        <x:v>UX</x:v>
      </x:c>
      <x:c r="E32" s="13" t="str">
        <x:v>Clarifier Ajouter / modifier un budget</x:v>
      </x:c>
      <x:c r="F32" s="13" t="str">
        <x:v>Distinguer clairement création et modification ou proposer un menu contextuel sur un budget existant.</x:v>
      </x:c>
      <x:c r="G32" s="13" t="str">
        <x:v>P1</x:v>
      </x:c>
      <x:c r="H32" s="13" t="str">
        <x:v>V0.6.6-R7.2</x:v>
      </x:c>
      <x:c r="I32" s="13" t="str">
        <x:v>À faire</x:v>
      </x:c>
      <x:c r="J32" s="13" t="str">
        <x:v>#32</x:v>
      </x:c>
      <x:c r="K32" s="13" t="str">
        <x:v>EPIC Budgets</x:v>
      </x:c>
      <x:c r="L32" s="13" t="str">
        <x:v>VV-UX-001</x:v>
      </x:c>
      <x:c r="M32" s="13" t="str">
        <x:v>L'utilisateur comprend comment modifier un budget existant et l'action fonctionne.</x:v>
      </x:c>
      <x:c r="N32" s="13" t="str">
        <x:v>Matrice R7.1</x:v>
      </x:c>
      <x:c r="O32" s="16" t="n">
        <x:v>46222</x:v>
      </x:c>
    </x:row>
    <x:row r="33">
      <x:c r="A33" s="13" t="str">
        <x:v>VV-BUD-002</x:v>
      </x:c>
      <x:c r="B33" s="13" t="str">
        <x:v>Budgets</x:v>
      </x:c>
      <x:c r="C33" s="13" t="str">
        <x:v>Budget</x:v>
      </x:c>
      <x:c r="D33" s="13" t="str">
        <x:v>Feature</x:v>
      </x:c>
      <x:c r="E33" s="13" t="str">
        <x:v>Budgets mensuels V1 consolidés</x:v>
      </x:c>
      <x:c r="F33" s="13" t="str">
        <x:v>Budgets par catégorie, prévu/réalisé, écarts, reste à vivre, fixe/variable et historique mensuel.</x:v>
      </x:c>
      <x:c r="G33" s="13" t="str">
        <x:v>P1</x:v>
      </x:c>
      <x:c r="H33" s="13" t="str">
        <x:v>V0.7.0</x:v>
      </x:c>
      <x:c r="I33" s="13" t="str">
        <x:v>Planifié</x:v>
      </x:c>
      <x:c r="J33" s="13" t="str">
        <x:v>À créer</x:v>
      </x:c>
      <x:c r="K33" s="13" t="str">
        <x:v>EPIC Budgets</x:v>
      </x:c>
      <x:c r="L33" s="13" t="str">
        <x:v>VV-CAT-001; VV-CAT-002</x:v>
      </x:c>
      <x:c r="M33" s="13" t="str">
        <x:v>Calculs cohérents avec les transactions et rapprochements; rapports mensuels exploitables.</x:v>
      </x:c>
      <x:c r="N33" s="13" t="str">
        <x:v>Roadmap stratégique</x:v>
      </x:c>
      <x:c r="O33" s="16" t="n">
        <x:v>46222</x:v>
      </x:c>
    </x:row>
    <x:row r="34">
      <x:c r="A34" s="13" t="str">
        <x:v>VV-BUD-003</x:v>
      </x:c>
      <x:c r="B34" s="13" t="str">
        <x:v>Budgets</x:v>
      </x:c>
      <x:c r="C34" s="13" t="str">
        <x:v>Budget</x:v>
      </x:c>
      <x:c r="D34" s="13" t="str">
        <x:v>Feature</x:v>
      </x:c>
      <x:c r="E34" s="13" t="str">
        <x:v>Alertes de dépassement et tendances</x:v>
      </x:c>
      <x:c r="F34" s="13" t="str">
        <x:v>Alerter sur dépassements, rythme de dépense et reste disponible par catégorie.</x:v>
      </x:c>
      <x:c r="G34" s="13" t="str">
        <x:v>P2</x:v>
      </x:c>
      <x:c r="H34" s="13" t="str">
        <x:v>V0.7.0</x:v>
      </x:c>
      <x:c r="I34" s="13" t="str">
        <x:v>Planifié</x:v>
      </x:c>
      <x:c r="J34" s="13" t="str">
        <x:v>À créer</x:v>
      </x:c>
      <x:c r="K34" s="13" t="str">
        <x:v>EPIC Budgets</x:v>
      </x:c>
      <x:c r="L34" s="13" t="str">
        <x:v>VV-BUD-002</x:v>
      </x:c>
      <x:c r="M34" s="13" t="str">
        <x:v>Alertes paramétrables et non intrusives; calculs expliqués.</x:v>
      </x:c>
      <x:c r="N34" s="13" t="str">
        <x:v>Roadmap stratégique</x:v>
      </x:c>
      <x:c r="O34" s="16" t="n">
        <x:v>46222</x:v>
      </x:c>
    </x:row>
    <x:row r="35">
      <x:c r="A35" s="13" t="str">
        <x:v>VV-SEC-001</x:v>
      </x:c>
      <x:c r="B35" s="13" t="str">
        <x:v>Sécurité</x:v>
      </x:c>
      <x:c r="C35" s="13" t="str">
        <x:v>Sécurité locale</x:v>
      </x:c>
      <x:c r="D35" s="13" t="str">
        <x:v>Audit</x:v>
      </x:c>
      <x:c r="E35" s="13" t="str">
        <x:v>Audit et cartographie des données sensibles</x:v>
      </x:c>
      <x:c r="F35" s="13" t="str">
        <x:v>Identifier base, sauvegardes, logs, identifiants bancaires, secrets futurs et chemins de stockage.</x:v>
      </x:c>
      <x:c r="G35" s="13" t="str">
        <x:v>P0</x:v>
      </x:c>
      <x:c r="H35" s="13" t="str">
        <x:v>V0.6.8</x:v>
      </x:c>
      <x:c r="I35" s="13" t="str">
        <x:v>Planifié</x:v>
      </x:c>
      <x:c r="J35" s="13" t="str">
        <x:v>À créer</x:v>
      </x:c>
      <x:c r="K35" s="13" t="str">
        <x:v>EPIC Sécurité</x:v>
      </x:c>
      <x:c r="L35" s="13" t="str">
        <x:v>—</x:v>
      </x:c>
      <x:c r="M35" s="13" t="str">
        <x:v>Inventaire, matrice de risques et décision de chiffrement documentés.</x:v>
      </x:c>
      <x:c r="N35" s="13" t="str">
        <x:v>Roadmap sécurité 07/07/2026</x:v>
      </x:c>
      <x:c r="O35" s="16" t="n">
        <x:v>46222</x:v>
      </x:c>
    </x:row>
    <x:row r="36">
      <x:c r="A36" s="13" t="str">
        <x:v>VV-SEC-002</x:v>
      </x:c>
      <x:c r="B36" s="13" t="str">
        <x:v>Sécurité</x:v>
      </x:c>
      <x:c r="C36" s="13" t="str">
        <x:v>Sécurité locale</x:v>
      </x:c>
      <x:c r="D36" s="13" t="str">
        <x:v>Feature</x:v>
      </x:c>
      <x:c r="E36" s="13" t="str">
        <x:v>Chiffrer la base locale et les sauvegardes</x:v>
      </x:c>
      <x:c r="F36" s="13" t="str">
        <x:v>Rendre les données illisibles en cas de copie du fichier et vérifier l'intégrité des sauvegardes.</x:v>
      </x:c>
      <x:c r="G36" s="13" t="str">
        <x:v>P0</x:v>
      </x:c>
      <x:c r="H36" s="13" t="str">
        <x:v>V0.6.8</x:v>
      </x:c>
      <x:c r="I36" s="13" t="str">
        <x:v>Planifié</x:v>
      </x:c>
      <x:c r="J36" s="13" t="str">
        <x:v>À créer</x:v>
      </x:c>
      <x:c r="K36" s="13" t="str">
        <x:v>EPIC Sécurité</x:v>
      </x:c>
      <x:c r="L36" s="13" t="str">
        <x:v>VV-SEC-001</x:v>
      </x:c>
      <x:c r="M36" s="13" t="str">
        <x:v>Base copiée illisible par un lecteur standard; sauvegarde/restauration sécurisées.</x:v>
      </x:c>
      <x:c r="N36" s="13" t="str">
        <x:v>Roadmap sécurité 07/07/2026</x:v>
      </x:c>
      <x:c r="O36" s="16" t="n">
        <x:v>46222</x:v>
      </x:c>
    </x:row>
    <x:row r="37">
      <x:c r="A37" s="13" t="str">
        <x:v>VV-SEC-003</x:v>
      </x:c>
      <x:c r="B37" s="13" t="str">
        <x:v>Sécurité</x:v>
      </x:c>
      <x:c r="C37" s="13" t="str">
        <x:v>Sécurité locale</x:v>
      </x:c>
      <x:c r="D37" s="13" t="str">
        <x:v>Feature</x:v>
      </x:c>
      <x:c r="E37" s="13" t="str">
        <x:v>Ajouter mot de passe maître et verrouillage</x:v>
      </x:c>
      <x:c r="F37" s="13" t="str">
        <x:v>Protéger l'accès à l'application, prévoir verrouillage d'inactivité et stockage sûr des secrets.</x:v>
      </x:c>
      <x:c r="G37" s="13" t="str">
        <x:v>P0</x:v>
      </x:c>
      <x:c r="H37" s="13" t="str">
        <x:v>V0.6.8</x:v>
      </x:c>
      <x:c r="I37" s="13" t="str">
        <x:v>Planifié</x:v>
      </x:c>
      <x:c r="J37" s="13" t="str">
        <x:v>À créer</x:v>
      </x:c>
      <x:c r="K37" s="13" t="str">
        <x:v>EPIC Sécurité</x:v>
      </x:c>
      <x:c r="L37" s="13" t="str">
        <x:v>VV-SEC-001; VV-SEC-002</x:v>
      </x:c>
      <x:c r="M37" s="13" t="str">
        <x:v>Application inutilisable sans déverrouillage; hash robuste; verrouillage testé.</x:v>
      </x:c>
      <x:c r="N37" s="13" t="str">
        <x:v>Roadmap sécurité 07/07/2026</x:v>
      </x:c>
      <x:c r="O37" s="16" t="n">
        <x:v>46222</x:v>
      </x:c>
    </x:row>
    <x:row r="38">
      <x:c r="A38" s="13" t="str">
        <x:v>VV-SEC-004</x:v>
      </x:c>
      <x:c r="B38" s="13" t="str">
        <x:v>Sécurité</x:v>
      </x:c>
      <x:c r="C38" s="13" t="str">
        <x:v>Paramètres</x:v>
      </x:c>
      <x:c r="D38" s="13" t="str">
        <x:v>UX</x:v>
      </x:c>
      <x:c r="E38" s="13" t="str">
        <x:v>Paramétrer le délai de verrouillage automatique</x:v>
      </x:c>
      <x:c r="F38" s="13" t="str">
        <x:v>Permettre le choix d'un délai d'inactivité dans les paramètres.</x:v>
      </x:c>
      <x:c r="G38" s="13" t="str">
        <x:v>P2</x:v>
      </x:c>
      <x:c r="H38" s="13" t="str">
        <x:v>V0.6.8</x:v>
      </x:c>
      <x:c r="I38" s="13" t="str">
        <x:v>À faire</x:v>
      </x:c>
      <x:c r="J38" s="13" t="str">
        <x:v>À créer</x:v>
      </x:c>
      <x:c r="K38" s="13" t="str">
        <x:v>EPIC Sécurité</x:v>
      </x:c>
      <x:c r="L38" s="13" t="str">
        <x:v>VV-SEC-003</x:v>
      </x:c>
      <x:c r="M38" s="13" t="str">
        <x:v>Valeur configurable, persistante et appliquée à la session suivante.</x:v>
      </x:c>
      <x:c r="N38" s="13" t="str">
        <x:v>Matrice R7.1</x:v>
      </x:c>
      <x:c r="O38" s="16" t="n">
        <x:v>46222</x:v>
      </x:c>
    </x:row>
    <x:row r="39">
      <x:c r="A39" s="13" t="str">
        <x:v>VV-SEC-005</x:v>
      </x:c>
      <x:c r="B39" s="13" t="str">
        <x:v>Sécurité</x:v>
      </x:c>
      <x:c r="C39" s="13" t="str">
        <x:v>Sauvegarde / Audit</x:v>
      </x:c>
      <x:c r="D39" s="13" t="str">
        <x:v>Bug</x:v>
      </x:c>
      <x:c r="E39" s="13" t="str">
        <x:v>Aligner l'audit sécurité et les sauvegardes chiffrées</x:v>
      </x:c>
      <x:c r="F39" s="13" t="str">
        <x:v>L'audit doit refléter correctement la présence, le format et la restauration des sauvegardes chiffrées.</x:v>
      </x:c>
      <x:c r="G39" s="13" t="str">
        <x:v>P1</x:v>
      </x:c>
      <x:c r="H39" s="13" t="str">
        <x:v>V0.6.6-R7.2</x:v>
      </x:c>
      <x:c r="I39" s="13" t="str">
        <x:v>À corriger</x:v>
      </x:c>
      <x:c r="J39" s="13" t="str">
        <x:v>#28</x:v>
      </x:c>
      <x:c r="K39" s="13" t="str">
        <x:v>EPIC Sécurité</x:v>
      </x:c>
      <x:c r="L39" s="13" t="str">
        <x:v>—</x:v>
      </x:c>
      <x:c r="M39" s="13" t="str">
        <x:v>État affiché conforme aux tests de création et restauration.</x:v>
      </x:c>
      <x:c r="N39" s="13" t="str">
        <x:v>Matrice R7.1</x:v>
      </x:c>
      <x:c r="O39" s="16" t="n">
        <x:v>46222</x:v>
      </x:c>
    </x:row>
    <x:row r="40">
      <x:c r="A40" s="13" t="str">
        <x:v>VV-PAR-001</x:v>
      </x:c>
      <x:c r="B40" s="13" t="str">
        <x:v>Paramètres</x:v>
      </x:c>
      <x:c r="C40" s="13" t="str">
        <x:v>Paramètres</x:v>
      </x:c>
      <x:c r="D40" s="13" t="str">
        <x:v>UX</x:v>
      </x:c>
      <x:c r="E40" s="13" t="str">
        <x:v>Clarifier l'onglet Maintenance</x:v>
      </x:c>
      <x:c r="F40" s="13" t="str">
        <x:v>Regrouper les actions utiles, supprimer les doublons et expliciter les opérations sensibles.</x:v>
      </x:c>
      <x:c r="G40" s="13" t="str">
        <x:v>P1</x:v>
      </x:c>
      <x:c r="H40" s="13" t="str">
        <x:v>V0.6.6-R7.2</x:v>
      </x:c>
      <x:c r="I40" s="13" t="str">
        <x:v>À faire</x:v>
      </x:c>
      <x:c r="J40" s="13" t="str">
        <x:v>#30</x:v>
      </x:c>
      <x:c r="K40" s="13" t="str">
        <x:v>EPIC Paramètres</x:v>
      </x:c>
      <x:c r="L40" s="13" t="str">
        <x:v>—</x:v>
      </x:c>
      <x:c r="M40" s="13" t="str">
        <x:v>Chaque action a un libellé clair, une confirmation et un résultat visible.</x:v>
      </x:c>
      <x:c r="N40" s="13" t="str">
        <x:v>Matrice R7.1</x:v>
      </x:c>
      <x:c r="O40" s="16" t="n">
        <x:v>46222</x:v>
      </x:c>
    </x:row>
    <x:row r="41">
      <x:c r="A41" s="13" t="str">
        <x:v>VV-PAR-002</x:v>
      </x:c>
      <x:c r="B41" s="13" t="str">
        <x:v>Paramètres</x:v>
      </x:c>
      <x:c r="C41" s="13" t="str">
        <x:v>Paramètres</x:v>
      </x:c>
      <x:c r="D41" s="13" t="str">
        <x:v>UX</x:v>
      </x:c>
      <x:c r="E41" s="13" t="str">
        <x:v>Masquer ou renommer Charts réels</x:v>
      </x:c>
      <x:c r="F41" s="13" t="str">
        <x:v>Supprimer de l'interface utilisateur un onglet technique inutile ou le renommer clairement.</x:v>
      </x:c>
      <x:c r="G41" s="13" t="str">
        <x:v>P1</x:v>
      </x:c>
      <x:c r="H41" s="13" t="str">
        <x:v>V0.6.6-R7.2</x:v>
      </x:c>
      <x:c r="I41" s="13" t="str">
        <x:v>À faire</x:v>
      </x:c>
      <x:c r="J41" s="13" t="str">
        <x:v>#29</x:v>
      </x:c>
      <x:c r="K41" s="13" t="str">
        <x:v>EPIC Paramètres</x:v>
      </x:c>
      <x:c r="L41" s="13" t="str">
        <x:v>—</x:v>
      </x:c>
      <x:c r="M41" s="13" t="str">
        <x:v>Aucun onglet technique incompréhensible dans la version utilisateur.</x:v>
      </x:c>
      <x:c r="N41" s="13" t="str">
        <x:v>Matrice R7.1</x:v>
      </x:c>
      <x:c r="O41" s="16" t="n">
        <x:v>46222</x:v>
      </x:c>
    </x:row>
    <x:row r="42">
      <x:c r="A42" s="13" t="str">
        <x:v>VV-PERF-001</x:v>
      </x:c>
      <x:c r="B42" s="13" t="str">
        <x:v>Performance</x:v>
      </x:c>
      <x:c r="C42" s="13" t="str">
        <x:v>Tous modules</x:v>
      </x:c>
      <x:c r="D42" s="13" t="str">
        <x:v>Performance</x:v>
      </x:c>
      <x:c r="E42" s="13" t="str">
        <x:v>Réduire les latences de navigation et graphiques</x:v>
      </x:c>
      <x:c r="F42" s="13" t="str">
        <x:v>Profiler les chargements, éviter les recalculs inutiles et afficher un indicateur lors des traitements longs.</x:v>
      </x:c>
      <x:c r="G42" s="13" t="str">
        <x:v>P1</x:v>
      </x:c>
      <x:c r="H42" s="13" t="str">
        <x:v>V0.6.6-R7.2</x:v>
      </x:c>
      <x:c r="I42" s="13" t="str">
        <x:v>À corriger</x:v>
      </x:c>
      <x:c r="J42" s="13" t="str">
        <x:v>#19</x:v>
      </x:c>
      <x:c r="K42" s="13" t="str">
        <x:v>EPIC Performance</x:v>
      </x:c>
      <x:c r="L42" s="13" t="str">
        <x:v>—</x:v>
      </x:c>
      <x:c r="M42" s="13" t="str">
        <x:v>Navigation fluide ou feedback visible; absence de blocage prolongé.</x:v>
      </x:c>
      <x:c r="N42" s="13" t="str">
        <x:v>Matrice R7.1</x:v>
      </x:c>
      <x:c r="O42" s="16" t="n">
        <x:v>46222</x:v>
      </x:c>
    </x:row>
    <x:row r="43">
      <x:c r="A43" s="13" t="str">
        <x:v>VV-INV-001</x:v>
      </x:c>
      <x:c r="B43" s="13" t="str">
        <x:v>Investissements</x:v>
      </x:c>
      <x:c r="C43" s="13" t="str">
        <x:v>Investissements</x:v>
      </x:c>
      <x:c r="D43" s="13" t="str">
        <x:v>Feature</x:v>
      </x:c>
      <x:c r="E43" s="13" t="str">
        <x:v>Investissements V1</x:v>
      </x:c>
      <x:c r="F43" s="13" t="str">
        <x:v>Gérer comptes-titres, PEA, assurance-vie et autres enveloppes avec valorisation manuelle et performance simple.</x:v>
      </x:c>
      <x:c r="G43" s="13" t="str">
        <x:v>P1</x:v>
      </x:c>
      <x:c r="H43" s="13" t="str">
        <x:v>V0.8.0</x:v>
      </x:c>
      <x:c r="I43" s="13" t="str">
        <x:v>Planifié</x:v>
      </x:c>
      <x:c r="J43" s="13" t="str">
        <x:v>À créer</x:v>
      </x:c>
      <x:c r="K43" s="13" t="str">
        <x:v>EPIC Investissements</x:v>
      </x:c>
      <x:c r="L43" s="13" t="str">
        <x:v>VV-SEC-002</x:v>
      </x:c>
      <x:c r="M43" s="13" t="str">
        <x:v>Actifs financiers structurés, allocation lisible et historique de valorisation.</x:v>
      </x:c>
      <x:c r="N43" s="13" t="str">
        <x:v>Roadmap stratégique</x:v>
      </x:c>
      <x:c r="O43" s="16" t="n">
        <x:v>46222</x:v>
      </x:c>
    </x:row>
    <x:row r="44">
      <x:c r="A44" s="13" t="str">
        <x:v>VV-INV-002</x:v>
      </x:c>
      <x:c r="B44" s="13" t="str">
        <x:v>Investissements</x:v>
      </x:c>
      <x:c r="C44" s="13" t="str">
        <x:v>Investissements</x:v>
      </x:c>
      <x:c r="D44" s="13" t="str">
        <x:v>Feature</x:v>
      </x:c>
      <x:c r="E44" s="13" t="str">
        <x:v>Allocation cible et écarts</x:v>
      </x:c>
      <x:c r="F44" s="13" t="str">
        <x:v>Définir une allocation cible par classe d'actifs et visualiser les écarts.</x:v>
      </x:c>
      <x:c r="G44" s="13" t="str">
        <x:v>P2</x:v>
      </x:c>
      <x:c r="H44" s="13" t="str">
        <x:v>V0.8.0</x:v>
      </x:c>
      <x:c r="I44" s="13" t="str">
        <x:v>Planifié</x:v>
      </x:c>
      <x:c r="J44" s="13" t="str">
        <x:v>À créer</x:v>
      </x:c>
      <x:c r="K44" s="13" t="str">
        <x:v>EPIC Investissements</x:v>
      </x:c>
      <x:c r="L44" s="13" t="str">
        <x:v>VV-INV-001</x:v>
      </x:c>
      <x:c r="M44" s="13" t="str">
        <x:v>Répartition réelle/cible claire et calculs explicables.</x:v>
      </x:c>
      <x:c r="N44" s="13" t="str">
        <x:v>Roadmap stratégique</x:v>
      </x:c>
      <x:c r="O44" s="16" t="n">
        <x:v>46222</x:v>
      </x:c>
    </x:row>
    <x:row r="45">
      <x:c r="A45" s="13" t="str">
        <x:v>VV-REP-001</x:v>
      </x:c>
      <x:c r="B45" s="13" t="str">
        <x:v>Rapports et exports</x:v>
      </x:c>
      <x:c r="C45" s="13" t="str">
        <x:v>Rapports</x:v>
      </x:c>
      <x:c r="D45" s="13" t="str">
        <x:v>Feature</x:v>
      </x:c>
      <x:c r="E45" s="13" t="str">
        <x:v>Rapports mensuels et patrimoniaux</x:v>
      </x:c>
      <x:c r="F45" s="13" t="str">
        <x:v>Produire des synthèses trésorerie, budget, transactions et patrimoine.</x:v>
      </x:c>
      <x:c r="G45" s="13" t="str">
        <x:v>P1</x:v>
      </x:c>
      <x:c r="H45" s="13" t="str">
        <x:v>V0.9.0</x:v>
      </x:c>
      <x:c r="I45" s="13" t="str">
        <x:v>Planifié</x:v>
      </x:c>
      <x:c r="J45" s="13" t="str">
        <x:v>À créer</x:v>
      </x:c>
      <x:c r="K45" s="13" t="str">
        <x:v>EPIC Rapports</x:v>
      </x:c>
      <x:c r="L45" s="13" t="str">
        <x:v>VV-BUD-002; VV-INV-001</x:v>
      </x:c>
      <x:c r="M45" s="13" t="str">
        <x:v>Rapports reproductibles sur une période et cohérents avec les écrans.</x:v>
      </x:c>
      <x:c r="N45" s="13" t="str">
        <x:v>Roadmap stratégique</x:v>
      </x:c>
      <x:c r="O45" s="16" t="n">
        <x:v>46222</x:v>
      </x:c>
    </x:row>
    <x:row r="46">
      <x:c r="A46" s="13" t="str">
        <x:v>VV-REP-002</x:v>
      </x:c>
      <x:c r="B46" s="13" t="str">
        <x:v>Rapports et exports</x:v>
      </x:c>
      <x:c r="C46" s="13" t="str">
        <x:v>Exports</x:v>
      </x:c>
      <x:c r="D46" s="13" t="str">
        <x:v>Feature</x:v>
      </x:c>
      <x:c r="E46" s="13" t="str">
        <x:v>Exports PDF et Excel</x:v>
      </x:c>
      <x:c r="F46" s="13" t="str">
        <x:v>Exporter les rapports et tableaux dans des formats propres avec historique des exports.</x:v>
      </x:c>
      <x:c r="G46" s="13" t="str">
        <x:v>P1</x:v>
      </x:c>
      <x:c r="H46" s="13" t="str">
        <x:v>V0.9.0</x:v>
      </x:c>
      <x:c r="I46" s="13" t="str">
        <x:v>Planifié</x:v>
      </x:c>
      <x:c r="J46" s="13" t="str">
        <x:v>À créer</x:v>
      </x:c>
      <x:c r="K46" s="13" t="str">
        <x:v>EPIC Rapports</x:v>
      </x:c>
      <x:c r="L46" s="13" t="str">
        <x:v>VV-REP-001</x:v>
      </x:c>
      <x:c r="M46" s="13" t="str">
        <x:v>Exports lisibles, datés, sans données manquantes et traçables.</x:v>
      </x:c>
      <x:c r="N46" s="13" t="str">
        <x:v>Roadmap stratégique</x:v>
      </x:c>
      <x:c r="O46" s="16" t="n">
        <x:v>46222</x:v>
      </x:c>
    </x:row>
    <x:row r="47">
      <x:c r="A47" s="13" t="str">
        <x:v>VV-GRA-001</x:v>
      </x:c>
      <x:c r="B47" s="13" t="str">
        <x:v>UX globale</x:v>
      </x:c>
      <x:c r="C47" s="13" t="str">
        <x:v>Dashboard / Graphiques</x:v>
      </x:c>
      <x:c r="D47" s="13" t="str">
        <x:v>Feature</x:v>
      </x:c>
      <x:c r="E47" s="13" t="str">
        <x:v>Graphiques modernes et consolidation UX</x:v>
      </x:c>
      <x:c r="F47" s="13" t="str">
        <x:v>Moderniser courbes, donuts, treemaps et interactions sans sacrifier la performance.</x:v>
      </x:c>
      <x:c r="G47" s="13" t="str">
        <x:v>P2</x:v>
      </x:c>
      <x:c r="H47" s="13" t="str">
        <x:v>V0.9.0</x:v>
      </x:c>
      <x:c r="I47" s="13" t="str">
        <x:v>Planifié</x:v>
      </x:c>
      <x:c r="J47" s="13" t="str">
        <x:v>À créer</x:v>
      </x:c>
      <x:c r="K47" s="13" t="str">
        <x:v>EPIC UX globale</x:v>
      </x:c>
      <x:c r="L47" s="13" t="str">
        <x:v>VV-PERF-001</x:v>
      </x:c>
      <x:c r="M47" s="13" t="str">
        <x:v>Graphiques cohérents, rapides, lisibles et raccordés aux données réelles.</x:v>
      </x:c>
      <x:c r="N47" s="13" t="str">
        <x:v>Roadmap stratégique</x:v>
      </x:c>
      <x:c r="O47" s="16" t="n">
        <x:v>46222</x:v>
      </x:c>
    </x:row>
    <x:row r="48">
      <x:c r="A48" s="13" t="str">
        <x:v>VV-PREM-001</x:v>
      </x:c>
      <x:c r="B48" s="13" t="str">
        <x:v>Socle Premium</x:v>
      </x:c>
      <x:c r="C48" s="13" t="str">
        <x:v>Architecture</x:v>
      </x:c>
      <x:c r="D48" s="13" t="str">
        <x:v>Tech</x:v>
      </x:c>
      <x:c r="E48" s="13" t="str">
        <x:v>Feature flags Premium</x:v>
      </x:c>
      <x:c r="F48" s="13" t="str">
        <x:v>Préparer l'activation progressive des options Premium sans coder les limitations en dur.</x:v>
      </x:c>
      <x:c r="G48" s="13" t="str">
        <x:v>P2</x:v>
      </x:c>
      <x:c r="H48" s="13" t="str">
        <x:v>V0.8.0</x:v>
      </x:c>
      <x:c r="I48" s="13" t="str">
        <x:v>Planifié</x:v>
      </x:c>
      <x:c r="J48" s="13" t="str">
        <x:v>À créer</x:v>
      </x:c>
      <x:c r="K48" s="13" t="str">
        <x:v>EPIC Socle Premium</x:v>
      </x:c>
      <x:c r="L48" s="13" t="str">
        <x:v>VV-SEC-001</x:v>
      </x:c>
      <x:c r="M48" s="13" t="str">
        <x:v>Flags centralisés, testables et désactivés par défaut.</x:v>
      </x:c>
      <x:c r="N48" s="13" t="str">
        <x:v>Roadmap sécurité</x:v>
      </x:c>
      <x:c r="O48" s="16" t="n">
        <x:v>46222</x:v>
      </x:c>
    </x:row>
    <x:row r="49">
      <x:c r="A49" s="13" t="str">
        <x:v>VV-PREM-002</x:v>
      </x:c>
      <x:c r="B49" s="13" t="str">
        <x:v>Socle Premium</x:v>
      </x:c>
      <x:c r="C49" s="13" t="str">
        <x:v>Architecture</x:v>
      </x:c>
      <x:c r="D49" s="13" t="str">
        <x:v>Tech</x:v>
      </x:c>
      <x:c r="E49" s="13" t="str">
        <x:v>Préparer multi-devises</x:v>
      </x:c>
      <x:c r="F49" s="13" t="str">
        <x:v>Ajouter devise par défaut, montants d'origine, taux de change et service monétaire.</x:v>
      </x:c>
      <x:c r="G49" s="13" t="str">
        <x:v>P2</x:v>
      </x:c>
      <x:c r="H49" s="13" t="str">
        <x:v>V0.8.0</x:v>
      </x:c>
      <x:c r="I49" s="13" t="str">
        <x:v>Planifié</x:v>
      </x:c>
      <x:c r="J49" s="13" t="str">
        <x:v>À créer</x:v>
      </x:c>
      <x:c r="K49" s="13" t="str">
        <x:v>EPIC Socle Premium</x:v>
      </x:c>
      <x:c r="L49" s="13" t="str">
        <x:v>VV-PREM-001</x:v>
      </x:c>
      <x:c r="M49" s="13" t="str">
        <x:v>EUR reste par défaut; modèle compatible sans activer l'interface multi-devises complète.</x:v>
      </x:c>
      <x:c r="N49" s="13" t="str">
        <x:v>Roadmap sécurité</x:v>
      </x:c>
      <x:c r="O49" s="16" t="n">
        <x:v>46222</x:v>
      </x:c>
    </x:row>
    <x:row r="50">
      <x:c r="A50" s="13" t="str">
        <x:v>VV-PREM-003</x:v>
      </x:c>
      <x:c r="B50" s="13" t="str">
        <x:v>Socle Premium</x:v>
      </x:c>
      <x:c r="C50" s="13" t="str">
        <x:v>Architecture</x:v>
      </x:c>
      <x:c r="D50" s="13" t="str">
        <x:v>Tech</x:v>
      </x:c>
      <x:c r="E50" s="13" t="str">
        <x:v>Préparer multi-langues</x:v>
      </x:c>
      <x:c r="F50" s="13" t="str">
        <x:v>Externaliser progressivement les libellés dans des fichiers de traduction FR/EN.</x:v>
      </x:c>
      <x:c r="G50" s="13" t="str">
        <x:v>P3</x:v>
      </x:c>
      <x:c r="H50" s="13" t="str">
        <x:v>V0.8.0</x:v>
      </x:c>
      <x:c r="I50" s="13" t="str">
        <x:v>Planifié</x:v>
      </x:c>
      <x:c r="J50" s="13" t="str">
        <x:v>À créer</x:v>
      </x:c>
      <x:c r="K50" s="13" t="str">
        <x:v>EPIC Socle Premium</x:v>
      </x:c>
      <x:c r="L50" s="13" t="str">
        <x:v>VV-PREM-001</x:v>
      </x:c>
      <x:c r="M50" s="13" t="str">
        <x:v>Clés de traduction stables et français inchangé pour l'utilisateur.</x:v>
      </x:c>
      <x:c r="N50" s="13" t="str">
        <x:v>Roadmap sécurité</x:v>
      </x:c>
      <x:c r="O50" s="16" t="n">
        <x:v>46222</x:v>
      </x:c>
    </x:row>
    <x:row r="51">
      <x:c r="A51" s="13" t="str">
        <x:v>VV-DOC-001</x:v>
      </x:c>
      <x:c r="B51" s="13" t="str">
        <x:v>Gouvernance</x:v>
      </x:c>
      <x:c r="C51" s="13" t="str">
        <x:v>Documentation</x:v>
      </x:c>
      <x:c r="D51" s="13" t="str">
        <x:v>Documentation</x:v>
      </x:c>
      <x:c r="E51" s="13" t="str">
        <x:v>Créer l'arborescence documentaire docs/</x:v>
      </x:c>
      <x:c r="F51" s="13" t="str">
        <x:v>Installer le référentiel Product Backlog, Roadmap, Cahier des charges, ADR, Recette, UX, Communication et Releases.</x:v>
      </x:c>
      <x:c r="G51" s="13" t="str">
        <x:v>P1</x:v>
      </x:c>
      <x:c r="H51" s="13" t="str">
        <x:v>Phase 1</x:v>
      </x:c>
      <x:c r="I51" s="13" t="str">
        <x:v>Livré</x:v>
      </x:c>
      <x:c r="J51" s="13" t="str">
        <x:v>—</x:v>
      </x:c>
      <x:c r="K51" s="13" t="str">
        <x:v>EPIC Gouvernance</x:v>
      </x:c>
      <x:c r="L51" s="13" t="str">
        <x:v>—</x:v>
      </x:c>
      <x:c r="M51" s="13" t="str">
        <x:v>Arborescence prête à déposer dans le dépôt et chaque dossier contient un README.</x:v>
      </x:c>
      <x:c r="N51" s="13" t="str">
        <x:v>Phase 1 - 19/07/2026</x:v>
      </x:c>
      <x:c r="O51" s="16" t="n">
        <x:v>46222</x:v>
      </x:c>
    </x:row>
    <x:row r="52">
      <x:c r="A52" s="13" t="str">
        <x:v>VV-DOC-002</x:v>
      </x:c>
      <x:c r="B52" s="13" t="str">
        <x:v>Gouvernance</x:v>
      </x:c>
      <x:c r="C52" s="13" t="str">
        <x:v>Documentation</x:v>
      </x:c>
      <x:c r="D52" s="13" t="str">
        <x:v>Documentation</x:v>
      </x:c>
      <x:c r="E52" s="13" t="str">
        <x:v>Créer le Product Backlog maître</x:v>
      </x:c>
      <x:c r="F52" s="13" t="str">
        <x:v>Centraliser fonctionnalités, bugs, priorités, versions, statuts, liens GitHub, dépendances et critères d'acceptation.</x:v>
      </x:c>
      <x:c r="G52" s="13" t="str">
        <x:v>P1</x:v>
      </x:c>
      <x:c r="H52" s="13" t="str">
        <x:v>Phase 1</x:v>
      </x:c>
      <x:c r="I52" s="13" t="str">
        <x:v>Livré</x:v>
      </x:c>
      <x:c r="J52" s="13" t="str">
        <x:v>—</x:v>
      </x:c>
      <x:c r="K52" s="13" t="str">
        <x:v>EPIC Gouvernance</x:v>
      </x:c>
      <x:c r="L52" s="13" t="str">
        <x:v>VV-DOC-001</x:v>
      </x:c>
      <x:c r="M52" s="13" t="str">
        <x:v>Classeur filtrable, listes contrôlées et tableau de bord.</x:v>
      </x:c>
      <x:c r="N52" s="13" t="str">
        <x:v>Phase 1 - 19/07/2026</x:v>
      </x:c>
      <x:c r="O52" s="16" t="n">
        <x:v>46222</x:v>
      </x:c>
    </x:row>
    <x:row r="53">
      <x:c r="A53" s="13" t="str">
        <x:v>VV-DOC-003</x:v>
      </x:c>
      <x:c r="B53" s="13" t="str">
        <x:v>Gouvernance</x:v>
      </x:c>
      <x:c r="C53" s="13" t="str">
        <x:v>Documentation</x:v>
      </x:c>
      <x:c r="D53" s="13" t="str">
        <x:v>Documentation</x:v>
      </x:c>
      <x:c r="E53" s="13" t="str">
        <x:v>Créer la Roadmap stratégique consolidée</x:v>
      </x:c>
      <x:c r="F53" s="13" t="str">
        <x:v>Réconcilier la version courante R7.x avec la trajectoire sécurité, budgets, investissements, rapports, bêta et V1.</x:v>
      </x:c>
      <x:c r="G53" s="13" t="str">
        <x:v>P1</x:v>
      </x:c>
      <x:c r="H53" s="13" t="str">
        <x:v>Phase 1</x:v>
      </x:c>
      <x:c r="I53" s="13" t="str">
        <x:v>Livré</x:v>
      </x:c>
      <x:c r="J53" s="13" t="str">
        <x:v>—</x:v>
      </x:c>
      <x:c r="K53" s="13" t="str">
        <x:v>EPIC Gouvernance</x:v>
      </x:c>
      <x:c r="L53" s="13" t="str">
        <x:v>VV-DOC-001</x:v>
      </x:c>
      <x:c r="M53" s="13" t="str">
        <x:v>Versions, objectifs, dépendances et critères GO/NO GO documentés.</x:v>
      </x:c>
      <x:c r="N53" s="13" t="str">
        <x:v>Phase 1 - 19/07/2026</x:v>
      </x:c>
      <x:c r="O53" s="16" t="n">
        <x:v>46222</x:v>
      </x:c>
    </x:row>
    <x:row r="54">
      <x:c r="A54" s="13" t="str">
        <x:v>VV-DOC-004</x:v>
      </x:c>
      <x:c r="B54" s="13" t="str">
        <x:v>Gouvernance</x:v>
      </x:c>
      <x:c r="C54" s="13" t="str">
        <x:v>Documentation</x:v>
      </x:c>
      <x:c r="D54" s="13" t="str">
        <x:v>Documentation</x:v>
      </x:c>
      <x:c r="E54" s="13" t="str">
        <x:v>Créer le Guide GitHub pas à pas</x:v>
      </x:c>
      <x:c r="F54" s="13" t="str">
        <x:v>Documenter création d'Epic, sub-issues, labels, milestones, projets, dépôt de fichiers et mise à jour des documents.</x:v>
      </x:c>
      <x:c r="G54" s="13" t="str">
        <x:v>P1</x:v>
      </x:c>
      <x:c r="H54" s="13" t="str">
        <x:v>Phase 1</x:v>
      </x:c>
      <x:c r="I54" s="13" t="str">
        <x:v>Livré</x:v>
      </x:c>
      <x:c r="J54" s="13" t="str">
        <x:v>—</x:v>
      </x:c>
      <x:c r="K54" s="13" t="str">
        <x:v>EPIC Gouvernance</x:v>
      </x:c>
      <x:c r="L54" s="13" t="str">
        <x:v>VV-DOC-001</x:v>
      </x:c>
      <x:c r="M54" s="13" t="str">
        <x:v>Guide exploitable par un débutant et procédures réutilisables.</x:v>
      </x:c>
      <x:c r="N54" s="13" t="str">
        <x:v>Phase 1 - 19/07/2026</x:v>
      </x:c>
      <x:c r="O54" s="16" t="n">
        <x:v>46222</x:v>
      </x:c>
    </x:row>
    <x:row r="55">
      <x:c r="A55" s="13" t="str">
        <x:v>VV-DOC-005</x:v>
      </x:c>
      <x:c r="B55" s="13" t="str">
        <x:v>Gouvernance</x:v>
      </x:c>
      <x:c r="C55" s="13" t="str">
        <x:v>Documentation</x:v>
      </x:c>
      <x:c r="D55" s="13" t="str">
        <x:v>Documentation</x:v>
      </x:c>
      <x:c r="E55" s="13" t="str">
        <x:v>Maintenir un cahier des charges vivant</x:v>
      </x:c>
      <x:c r="F55" s="13" t="str">
        <x:v>Créer et alimenter le référentiel métier par module à chaque décision validée.</x:v>
      </x:c>
      <x:c r="G55" s="13" t="str">
        <x:v>P1</x:v>
      </x:c>
      <x:c r="H55" s="13" t="str">
        <x:v>Phase 2</x:v>
      </x:c>
      <x:c r="I55" s="13" t="str">
        <x:v>Planifié</x:v>
      </x:c>
      <x:c r="J55" s="13" t="str">
        <x:v>À créer</x:v>
      </x:c>
      <x:c r="K55" s="13" t="str">
        <x:v>EPIC Gouvernance</x:v>
      </x:c>
      <x:c r="L55" s="13" t="str">
        <x:v>VV-DOC-001</x:v>
      </x:c>
      <x:c r="M55" s="13" t="str">
        <x:v>Chaque règle métier dispose d'un emplacement, d'une date et d'une source.</x:v>
      </x:c>
      <x:c r="N55" s="13" t="str">
        <x:v>Phase 2</x:v>
      </x:c>
      <x:c r="O55" s="16" t="n">
        <x:v>46222</x:v>
      </x:c>
    </x:row>
    <x:row r="56">
      <x:c r="A56" s="13" t="str">
        <x:v>VV-DOC-006</x:v>
      </x:c>
      <x:c r="B56" s="13" t="str">
        <x:v>Gouvernance</x:v>
      </x:c>
      <x:c r="C56" s="13" t="str">
        <x:v>Architecture</x:v>
      </x:c>
      <x:c r="D56" s="13" t="str">
        <x:v>Documentation</x:v>
      </x:c>
      <x:c r="E56" s="13" t="str">
        <x:v>Créer le registre ADR</x:v>
      </x:c>
      <x:c r="F56" s="13" t="str">
        <x:v>Tracer les décisions structurantes, leurs motivations, conséquences et statut.</x:v>
      </x:c>
      <x:c r="G56" s="13" t="str">
        <x:v>P1</x:v>
      </x:c>
      <x:c r="H56" s="13" t="str">
        <x:v>Phase 2</x:v>
      </x:c>
      <x:c r="I56" s="13" t="str">
        <x:v>Planifié</x:v>
      </x:c>
      <x:c r="J56" s="13" t="str">
        <x:v>À créer</x:v>
      </x:c>
      <x:c r="K56" s="13" t="str">
        <x:v>EPIC Gouvernance</x:v>
      </x:c>
      <x:c r="L56" s="13" t="str">
        <x:v>VV-DOC-001</x:v>
      </x:c>
      <x:c r="M56" s="13" t="str">
        <x:v>ADR numérotées et liées aux issues concernées.</x:v>
      </x:c>
      <x:c r="N56" s="13" t="str">
        <x:v>Phase 2</x:v>
      </x:c>
      <x:c r="O56" s="16" t="n">
        <x:v>46222</x:v>
      </x:c>
    </x:row>
    <x:row r="57">
      <x:c r="A57" s="13" t="str">
        <x:v>VV-BETA-001</x:v>
      </x:c>
      <x:c r="B57" s="13" t="str">
        <x:v>Bêta et release</x:v>
      </x:c>
      <x:c r="C57" s="13" t="str">
        <x:v>Qualité</x:v>
      </x:c>
      <x:c r="D57" s="13" t="str">
        <x:v>Release</x:v>
      </x:c>
      <x:c r="E57" s="13" t="str">
        <x:v>Préparer la bêta privée contrôlée</x:v>
      </x:c>
      <x:c r="F57" s="13" t="str">
        <x:v>Package installable, documentation utilisateur, campagne de recette, collecte des retours et critères de sécurité.</x:v>
      </x:c>
      <x:c r="G57" s="13" t="str">
        <x:v>P0</x:v>
      </x:c>
      <x:c r="H57" s="13" t="str">
        <x:v>V0.9.0</x:v>
      </x:c>
      <x:c r="I57" s="13" t="str">
        <x:v>Planifié</x:v>
      </x:c>
      <x:c r="J57" s="13" t="str">
        <x:v>À créer</x:v>
      </x:c>
      <x:c r="K57" s="13" t="str">
        <x:v>EPIC Bêta</x:v>
      </x:c>
      <x:c r="L57" s="13" t="str">
        <x:v>VV-SEC-002; VV-SEC-003; VV-REP-001</x:v>
      </x:c>
      <x:c r="M57" s="13" t="str">
        <x:v>GO/NO GO validé, aucune anomalie P0, sécurité testée, installation reproductible.</x:v>
      </x:c>
      <x:c r="N57" s="13" t="str">
        <x:v>Roadmap stratégique</x:v>
      </x:c>
      <x:c r="O57" s="16" t="n">
        <x:v>46222</x:v>
      </x:c>
    </x:row>
    <x:row r="58">
      <x:c r="A58" s="13" t="str">
        <x:v>VV-V1-001</x:v>
      </x:c>
      <x:c r="B58" s="13" t="str">
        <x:v>Bêta et release</x:v>
      </x:c>
      <x:c r="C58" s="13" t="str">
        <x:v>Release</x:v>
      </x:c>
      <x:c r="D58" s="13" t="str">
        <x:v>Release</x:v>
      </x:c>
      <x:c r="E58" s="13" t="str">
        <x:v>Publier Valoria Vision V1.0</x:v>
      </x:c>
      <x:c r="F58" s="13" t="str">
        <x:v>Version initiale publique après validation de la bêta, documentation et support de mise à jour.</x:v>
      </x:c>
      <x:c r="G58" s="13" t="str">
        <x:v>P0</x:v>
      </x:c>
      <x:c r="H58" s="13" t="str">
        <x:v>V1.0.0</x:v>
      </x:c>
      <x:c r="I58" s="13" t="str">
        <x:v>Planifié</x:v>
      </x:c>
      <x:c r="J58" s="13" t="str">
        <x:v>À créer</x:v>
      </x:c>
      <x:c r="K58" s="13" t="str">
        <x:v>EPIC V1</x:v>
      </x:c>
      <x:c r="L58" s="13" t="str">
        <x:v>VV-BETA-001</x:v>
      </x:c>
      <x:c r="M58" s="13" t="str">
        <x:v>Parcours principal stable, documentation complète et mécanisme de retour utilisateur.</x:v>
      </x:c>
      <x:c r="N58" s="13" t="str">
        <x:v>Roadmap stratégique</x:v>
      </x:c>
      <x:c r="O58" s="16" t="n">
        <x:v>46222</x:v>
      </x:c>
    </x:row>
    <x:row r="59">
      <x:c r="A59" s="13" t="str">
        <x:v>VV-OB-001</x:v>
      </x:c>
      <x:c r="B59" s="13" t="str">
        <x:v>Open Banking</x:v>
      </x:c>
      <x:c r="C59" s="13" t="str">
        <x:v>Connecteurs</x:v>
      </x:c>
      <x:c r="D59" s="13" t="str">
        <x:v>Feature</x:v>
      </x:c>
      <x:c r="E59" s="13" t="str">
        <x:v>Préparer puis intégrer Open Banking</x:v>
      </x:c>
      <x:c r="F59" s="13" t="str">
        <x:v>Synchronisation bancaire officielle, gestion des tokens, anti-doublons et journal de synchronisation.</x:v>
      </x:c>
      <x:c r="G59" s="13" t="str">
        <x:v>P2</x:v>
      </x:c>
      <x:c r="H59" s="13" t="str">
        <x:v>Post V1</x:v>
      </x:c>
      <x:c r="I59" s="13" t="str">
        <x:v>Idée priorisée</x:v>
      </x:c>
      <x:c r="J59" s="13" t="str">
        <x:v>À créer</x:v>
      </x:c>
      <x:c r="K59" s="13" t="str">
        <x:v>EPIC Open Banking</x:v>
      </x:c>
      <x:c r="L59" s="13" t="str">
        <x:v>VV-SEC-003; VV-PREM-001</x:v>
      </x:c>
      <x:c r="M59" s="13" t="str">
        <x:v>Connexion optionnelle, sécurisée et conforme; aucune donnée sensible en clair.</x:v>
      </x:c>
      <x:c r="N59" s="13" t="str">
        <x:v>Roadmap sécurité</x:v>
      </x:c>
      <x:c r="O59" s="16" t="n">
        <x:v>46222</x:v>
      </x:c>
    </x:row>
  </x:sheetData>
  <x:conditionalFormatting sqref="G2:G200">
    <x:cfRule type="expression" dxfId="0" priority="1">
      <x:formula>G2="P0"</x:formula>
    </x:cfRule>
    <x:cfRule type="expression" dxfId="1" priority="2">
      <x:formula>G2="P1"</x:formula>
    </x:cfRule>
    <x:cfRule type="expression" dxfId="2" priority="3">
      <x:formula>G2="P2"</x:formula>
    </x:cfRule>
  </x:conditionalFormatting>
  <x:conditionalFormatting sqref="I2:I200">
    <x:cfRule type="expression" dxfId="3" priority="4">
      <x:formula>OR(I2="Validé",I2="Livré",I2="Clôturé")</x:formula>
    </x:cfRule>
    <x:cfRule type="expression" dxfId="4" priority="5">
      <x:formula>OR(I2="À corriger",I2="À retester")</x:formula>
    </x:cfRule>
    <x:cfRule type="expression" dxfId="5" priority="6">
      <x:formula>I2="En cours"</x:formula>
    </x:cfRule>
    <x:cfRule type="expression" dxfId="6" priority="7">
      <x:formula>OR(I2="Planifié",I2="À faire")</x:formula>
    </x:cfRule>
  </x:conditionalFormatting>
  <x:dataValidations count="4">
    <x:dataValidation type="list" sqref="G2:G200">
      <x:formula1>Listes!$A$2:$A$5</x:formula1>
    </x:dataValidation>
    <x:dataValidation type="list" sqref="I2:I200">
      <x:formula1>Listes!$B$2:$B$11</x:formula1>
    </x:dataValidation>
    <x:dataValidation type="list" sqref="D2:D200">
      <x:formula1>Listes!$C$2:$C$12</x:formula1>
    </x:dataValidation>
    <x:dataValidation type="list" sqref="H2:H200">
      <x:formula1>Listes!$D$2:$D$13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a23301a3a3243f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60" hidden="0" customWidth="1"/>
    <x:col min="3" max="3" width="24" hidden="0" customWidth="1"/>
    <x:col min="4" max="4" width="18" hidden="0" customWidth="1"/>
    <x:col min="5" max="5" width="18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0" customHeight="1">
      <x:c r="A1" s="5" t="str">
        <x:v>Epic</x:v>
      </x:c>
      <x:c r="B1" s="5" t="str">
        <x:v>Objectif</x:v>
      </x:c>
      <x:c r="C1" s="5" t="str">
        <x:v>Responsable produit</x:v>
      </x:c>
      <x:c r="D1" s="5" t="str">
        <x:v>Version dominante</x:v>
      </x:c>
      <x:c r="E1" s="5" t="str">
        <x:v>Statut global</x:v>
      </x:c>
      <x:c r="F1" s="5" t="str">
        <x:v>Nb éléments</x:v>
      </x:c>
      <x:c r="G1" s="5" t="str">
        <x:v>Nb terminés</x:v>
      </x:c>
      <x:c r="H1" s="5" t="str">
        <x:v>Progression</x:v>
      </x:c>
    </x:row>
    <x:row r="2">
      <x:c r="A2" s="13" t="str">
        <x:v>Budgets</x:v>
      </x:c>
      <x:c r="B2" s="13" t="str">
        <x:v>Comparer prévu et réalisé, analyser les écarts et piloter le reste à vivre.</x:v>
      </x:c>
      <x:c r="C2" s="13" t="str">
        <x:v>François / Product Owner</x:v>
      </x:c>
      <x:c r="D2" s="13" t="str">
        <x:v>V0.7.0</x:v>
      </x:c>
      <x:c r="E2" s="13" t="str">
        <x:v>À piloter</x:v>
      </x:c>
      <x:c r="F2" s="13" t="n">
        <x:f>COUNTIF(Backlog!$B$2:$B$200,A2)</x:f>
        <x:v>3</x:v>
      </x:c>
      <x:c r="G2" s="13" t="n">
        <x:f>COUNTIFS(Backlog!$B$2:$B$200,A2,Backlog!$I$2:$I$200,"Validé")+COUNTIFS(Backlog!$B$2:$B$200,A2,Backlog!$I$2:$I$200,"Livré")+COUNTIFS(Backlog!$B$2:$B$200,A2,Backlog!$I$2:$I$200,"Clôturé")</x:f>
        <x:v>0</x:v>
      </x:c>
      <x:c r="H2" s="18" t="n">
        <x:f>IF(F2=0,0,G2/F2)</x:f>
        <x:v>0</x:v>
      </x:c>
    </x:row>
    <x:row r="3">
      <x:c r="A3" s="13" t="str">
        <x:v>Bêta et release</x:v>
      </x:c>
      <x:c r="B3" s="13" t="str">
        <x:v>Préparer la bêta, la V1 et les procédures de livraison.</x:v>
      </x:c>
      <x:c r="C3" s="13" t="str">
        <x:v>François / Product Owner</x:v>
      </x:c>
      <x:c r="D3" s="13" t="str">
        <x:v>V0.9.0</x:v>
      </x:c>
      <x:c r="E3" s="13" t="str">
        <x:v>À piloter</x:v>
      </x:c>
      <x:c r="F3" s="13" t="n">
        <x:f>COUNTIF(Backlog!$B$2:$B$200,A3)</x:f>
        <x:v>2</x:v>
      </x:c>
      <x:c r="G3" s="13" t="n">
        <x:f>COUNTIFS(Backlog!$B$2:$B$200,A3,Backlog!$I$2:$I$200,"Validé")+COUNTIFS(Backlog!$B$2:$B$200,A3,Backlog!$I$2:$I$200,"Livré")+COUNTIFS(Backlog!$B$2:$B$200,A3,Backlog!$I$2:$I$200,"Clôturé")</x:f>
        <x:v>0</x:v>
      </x:c>
      <x:c r="H3" s="18" t="n">
        <x:f>IF(F3=0,0,G3/F3)</x:f>
        <x:v>0</x:v>
      </x:c>
    </x:row>
    <x:row r="4">
      <x:c r="A4" s="13" t="str">
        <x:v>Gestion des comptes</x:v>
      </x:c>
      <x:c r="B4" s="13" t="str">
        <x:v>Gérer le cycle de vie complet des comptes, leurs soldes de référence et leur synchronisation transverse.</x:v>
      </x:c>
      <x:c r="C4" s="13" t="str">
        <x:v>François / Product Owner</x:v>
      </x:c>
      <x:c r="D4" s="13" t="str">
        <x:v>V0.6.7</x:v>
      </x:c>
      <x:c r="E4" s="13" t="str">
        <x:v>À piloter</x:v>
      </x:c>
      <x:c r="F4" s="13" t="n">
        <x:f>COUNTIF(Backlog!$B$2:$B$200,A4)</x:f>
        <x:v>9</x:v>
      </x:c>
      <x:c r="G4" s="13" t="n">
        <x:f>COUNTIFS(Backlog!$B$2:$B$200,A4,Backlog!$I$2:$I$200,"Validé")+COUNTIFS(Backlog!$B$2:$B$200,A4,Backlog!$I$2:$I$200,"Livré")+COUNTIFS(Backlog!$B$2:$B$200,A4,Backlog!$I$2:$I$200,"Clôturé")</x:f>
        <x:v>0</x:v>
      </x:c>
      <x:c r="H4" s="18" t="n">
        <x:f>IF(F4=0,0,G4/F4)</x:f>
        <x:v>0</x:v>
      </x:c>
    </x:row>
    <x:row r="5">
      <x:c r="A5" s="13" t="str">
        <x:v>Gouvernance</x:v>
      </x:c>
      <x:c r="B5" s="13" t="str">
        <x:v>Maintenir une documentation, une roadmap et un backlog de référence.</x:v>
      </x:c>
      <x:c r="C5" s="13" t="str">
        <x:v>François / Product Owner</x:v>
      </x:c>
      <x:c r="D5" s="13" t="str">
        <x:v>Phase 1</x:v>
      </x:c>
      <x:c r="E5" s="13" t="str">
        <x:v>À piloter</x:v>
      </x:c>
      <x:c r="F5" s="13" t="n">
        <x:f>COUNTIF(Backlog!$B$2:$B$200,A5)</x:f>
        <x:v>6</x:v>
      </x:c>
      <x:c r="G5" s="13" t="n">
        <x:f>COUNTIFS(Backlog!$B$2:$B$200,A5,Backlog!$I$2:$I$200,"Validé")+COUNTIFS(Backlog!$B$2:$B$200,A5,Backlog!$I$2:$I$200,"Livré")+COUNTIFS(Backlog!$B$2:$B$200,A5,Backlog!$I$2:$I$200,"Clôturé")</x:f>
        <x:v>4</x:v>
      </x:c>
      <x:c r="H5" s="18" t="n">
        <x:f>IF(F5=0,0,G5/F5)</x:f>
        <x:v>0.6666666666666666</x:v>
      </x:c>
    </x:row>
    <x:row r="6">
      <x:c r="A6" s="13" t="str">
        <x:v>Investissements</x:v>
      </x:c>
      <x:c r="B6" s="13" t="str">
        <x:v>Structurer les enveloppes, valorisations, performances et allocations.</x:v>
      </x:c>
      <x:c r="C6" s="13" t="str">
        <x:v>François / Product Owner</x:v>
      </x:c>
      <x:c r="D6" s="13" t="str">
        <x:v>V0.8.0</x:v>
      </x:c>
      <x:c r="E6" s="13" t="str">
        <x:v>À piloter</x:v>
      </x:c>
      <x:c r="F6" s="13" t="n">
        <x:f>COUNTIF(Backlog!$B$2:$B$200,A6)</x:f>
        <x:v>2</x:v>
      </x:c>
      <x:c r="G6" s="13" t="n">
        <x:f>COUNTIFS(Backlog!$B$2:$B$200,A6,Backlog!$I$2:$I$200,"Validé")+COUNTIFS(Backlog!$B$2:$B$200,A6,Backlog!$I$2:$I$200,"Livré")+COUNTIFS(Backlog!$B$2:$B$200,A6,Backlog!$I$2:$I$200,"Clôturé")</x:f>
        <x:v>0</x:v>
      </x:c>
      <x:c r="H6" s="18" t="n">
        <x:f>IF(F6=0,0,G6/F6)</x:f>
        <x:v>0</x:v>
      </x:c>
    </x:row>
    <x:row r="7">
      <x:c r="A7" s="13" t="str">
        <x:v>Open Banking</x:v>
      </x:c>
      <x:c r="B7" s="13" t="str">
        <x:v>Préparer une synchronisation bancaire officielle et sécurisée.</x:v>
      </x:c>
      <x:c r="C7" s="13" t="str">
        <x:v>François / Product Owner</x:v>
      </x:c>
      <x:c r="D7" s="13" t="str">
        <x:v>Post V1</x:v>
      </x:c>
      <x:c r="E7" s="13" t="str">
        <x:v>À piloter</x:v>
      </x:c>
      <x:c r="F7" s="13" t="n">
        <x:f>COUNTIF(Backlog!$B$2:$B$200,A7)</x:f>
        <x:v>1</x:v>
      </x:c>
      <x:c r="G7" s="13" t="n">
        <x:f>COUNTIFS(Backlog!$B$2:$B$200,A7,Backlog!$I$2:$I$200,"Validé")+COUNTIFS(Backlog!$B$2:$B$200,A7,Backlog!$I$2:$I$200,"Livré")+COUNTIFS(Backlog!$B$2:$B$200,A7,Backlog!$I$2:$I$200,"Clôturé")</x:f>
        <x:v>0</x:v>
      </x:c>
      <x:c r="H7" s="18" t="n">
        <x:f>IF(F7=0,0,G7/F7)</x:f>
        <x:v>0</x:v>
      </x:c>
    </x:row>
    <x:row r="8">
      <x:c r="A8" s="13" t="str">
        <x:v>Paramètres</x:v>
      </x:c>
      <x:c r="B8" s="13" t="str">
        <x:v>Rendre les fonctions de configuration et maintenance claires et sûres.</x:v>
      </x:c>
      <x:c r="C8" s="13" t="str">
        <x:v>François / Product Owner</x:v>
      </x:c>
      <x:c r="D8" s="13" t="str">
        <x:v>V0.6.6-R7.2</x:v>
      </x:c>
      <x:c r="E8" s="13" t="str">
        <x:v>À piloter</x:v>
      </x:c>
      <x:c r="F8" s="13" t="n">
        <x:f>COUNTIF(Backlog!$B$2:$B$200,A8)</x:f>
        <x:v>2</x:v>
      </x:c>
      <x:c r="G8" s="13" t="n">
        <x:f>COUNTIFS(Backlog!$B$2:$B$200,A8,Backlog!$I$2:$I$200,"Validé")+COUNTIFS(Backlog!$B$2:$B$200,A8,Backlog!$I$2:$I$200,"Livré")+COUNTIFS(Backlog!$B$2:$B$200,A8,Backlog!$I$2:$I$200,"Clôturé")</x:f>
        <x:v>0</x:v>
      </x:c>
      <x:c r="H8" s="18" t="n">
        <x:f>IF(F8=0,0,G8/F8)</x:f>
        <x:v>0</x:v>
      </x:c>
    </x:row>
    <x:row r="9">
      <x:c r="A9" s="13" t="str">
        <x:v>Patrimoine</x:v>
      </x:c>
      <x:c r="B9" s="13" t="str">
        <x:v>Garantir une vision cohérente des actifs, passifs, valorisations et historiques.</x:v>
      </x:c>
      <x:c r="C9" s="13" t="str">
        <x:v>François / Product Owner</x:v>
      </x:c>
      <x:c r="D9" s="13" t="str">
        <x:v>V0.6.6-R7.1</x:v>
      </x:c>
      <x:c r="E9" s="13" t="str">
        <x:v>À piloter</x:v>
      </x:c>
      <x:c r="F9" s="13" t="n">
        <x:f>COUNTIF(Backlog!$B$2:$B$200,A9)</x:f>
        <x:v>6</x:v>
      </x:c>
      <x:c r="G9" s="13" t="n">
        <x:f>COUNTIFS(Backlog!$B$2:$B$200,A9,Backlog!$I$2:$I$200,"Validé")+COUNTIFS(Backlog!$B$2:$B$200,A9,Backlog!$I$2:$I$200,"Livré")+COUNTIFS(Backlog!$B$2:$B$200,A9,Backlog!$I$2:$I$200,"Clôturé")</x:f>
        <x:v>4</x:v>
      </x:c>
      <x:c r="H9" s="18" t="n">
        <x:f>IF(F9=0,0,G9/F9)</x:f>
        <x:v>0.6666666666666666</x:v>
      </x:c>
    </x:row>
    <x:row r="10">
      <x:c r="A10" s="13" t="str">
        <x:v>Performance</x:v>
      </x:c>
      <x:c r="B10" s="13" t="str">
        <x:v>Assurer une navigation fluide et des traitements explicites.</x:v>
      </x:c>
      <x:c r="C10" s="13" t="str">
        <x:v>François / Product Owner</x:v>
      </x:c>
      <x:c r="D10" s="13" t="str">
        <x:v>V0.6.6-R7.2</x:v>
      </x:c>
      <x:c r="E10" s="13" t="str">
        <x:v>À piloter</x:v>
      </x:c>
      <x:c r="F10" s="13" t="n">
        <x:f>COUNTIF(Backlog!$B$2:$B$200,A10)</x:f>
        <x:v>1</x:v>
      </x:c>
      <x:c r="G10" s="13" t="n">
        <x:f>COUNTIFS(Backlog!$B$2:$B$200,A10,Backlog!$I$2:$I$200,"Validé")+COUNTIFS(Backlog!$B$2:$B$200,A10,Backlog!$I$2:$I$200,"Livré")+COUNTIFS(Backlog!$B$2:$B$200,A10,Backlog!$I$2:$I$200,"Clôturé")</x:f>
        <x:v>0</x:v>
      </x:c>
      <x:c r="H10" s="18" t="n">
        <x:f>IF(F10=0,0,G10/F10)</x:f>
        <x:v>0</x:v>
      </x:c>
    </x:row>
    <x:row r="11">
      <x:c r="A11" s="13" t="str">
        <x:v>Prévisionnel</x:v>
      </x:c>
      <x:c r="B11" s="13" t="str">
        <x:v>Produire une trésorerie quotidienne fiable intégrant récurrences et événements ponctuels.</x:v>
      </x:c>
      <x:c r="C11" s="13" t="str">
        <x:v>François / Product Owner</x:v>
      </x:c>
      <x:c r="D11" s="13" t="str">
        <x:v>V0.6.6-R7.1</x:v>
      </x:c>
      <x:c r="E11" s="13" t="str">
        <x:v>À piloter</x:v>
      </x:c>
      <x:c r="F11" s="13" t="n">
        <x:f>COUNTIF(Backlog!$B$2:$B$200,A11)</x:f>
        <x:v>1</x:v>
      </x:c>
      <x:c r="G11" s="13" t="n">
        <x:f>COUNTIFS(Backlog!$B$2:$B$200,A11,Backlog!$I$2:$I$200,"Validé")+COUNTIFS(Backlog!$B$2:$B$200,A11,Backlog!$I$2:$I$200,"Livré")+COUNTIFS(Backlog!$B$2:$B$200,A11,Backlog!$I$2:$I$200,"Clôturé")</x:f>
        <x:v>0</x:v>
      </x:c>
      <x:c r="H11" s="18" t="n">
        <x:f>IF(F11=0,0,G11/F11)</x:f>
        <x:v>0</x:v>
      </x:c>
    </x:row>
    <x:row r="12">
      <x:c r="A12" s="13" t="str">
        <x:v>Rapports et exports</x:v>
      </x:c>
      <x:c r="B12" s="13" t="str">
        <x:v>Produire des synthèses fiables et exportables.</x:v>
      </x:c>
      <x:c r="C12" s="13" t="str">
        <x:v>François / Product Owner</x:v>
      </x:c>
      <x:c r="D12" s="13" t="str">
        <x:v>V0.9.0</x:v>
      </x:c>
      <x:c r="E12" s="13" t="str">
        <x:v>À piloter</x:v>
      </x:c>
      <x:c r="F12" s="13" t="n">
        <x:f>COUNTIF(Backlog!$B$2:$B$200,A12)</x:f>
        <x:v>2</x:v>
      </x:c>
      <x:c r="G12" s="13" t="n">
        <x:f>COUNTIFS(Backlog!$B$2:$B$200,A12,Backlog!$I$2:$I$200,"Validé")+COUNTIFS(Backlog!$B$2:$B$200,A12,Backlog!$I$2:$I$200,"Livré")+COUNTIFS(Backlog!$B$2:$B$200,A12,Backlog!$I$2:$I$200,"Clôturé")</x:f>
        <x:v>0</x:v>
      </x:c>
      <x:c r="H12" s="18" t="n">
        <x:f>IF(F12=0,0,G12/F12)</x:f>
        <x:v>0</x:v>
      </x:c>
    </x:row>
    <x:row r="13">
      <x:c r="A13" s="13" t="str">
        <x:v>Rapprochements</x:v>
      </x:c>
      <x:c r="B13" s="13" t="str">
        <x:v>Relier les opérations prévues et réalisées sans double comptage.</x:v>
      </x:c>
      <x:c r="C13" s="13" t="str">
        <x:v>François / Product Owner</x:v>
      </x:c>
      <x:c r="D13" s="13" t="str">
        <x:v>V0.6.6-R7.1</x:v>
      </x:c>
      <x:c r="E13" s="13" t="str">
        <x:v>À piloter</x:v>
      </x:c>
      <x:c r="F13" s="13" t="n">
        <x:f>COUNTIF(Backlog!$B$2:$B$200,A13)</x:f>
        <x:v>5</x:v>
      </x:c>
      <x:c r="G13" s="13" t="n">
        <x:f>COUNTIFS(Backlog!$B$2:$B$200,A13,Backlog!$I$2:$I$200,"Validé")+COUNTIFS(Backlog!$B$2:$B$200,A13,Backlog!$I$2:$I$200,"Livré")+COUNTIFS(Backlog!$B$2:$B$200,A13,Backlog!$I$2:$I$200,"Clôturé")</x:f>
        <x:v>0</x:v>
      </x:c>
      <x:c r="H13" s="18" t="n">
        <x:f>IF(F13=0,0,G13/F13)</x:f>
        <x:v>0</x:v>
      </x:c>
    </x:row>
    <x:row r="14">
      <x:c r="A14" s="13" t="str">
        <x:v>Règles automatiques</x:v>
      </x:c>
      <x:c r="B14" s="13" t="str">
        <x:v>Automatiser la catégorisation tout en gardant une traçabilité et un contrôle utilisateur.</x:v>
      </x:c>
      <x:c r="C14" s="13" t="str">
        <x:v>François / Product Owner</x:v>
      </x:c>
      <x:c r="D14" s="13" t="str">
        <x:v>V0.6.6-R7.1</x:v>
      </x:c>
      <x:c r="E14" s="13" t="str">
        <x:v>À piloter</x:v>
      </x:c>
      <x:c r="F14" s="13" t="n">
        <x:f>COUNTIF(Backlog!$B$2:$B$200,A14)</x:f>
        <x:v>2</x:v>
      </x:c>
      <x:c r="G14" s="13" t="n">
        <x:f>COUNTIFS(Backlog!$B$2:$B$200,A14,Backlog!$I$2:$I$200,"Validé")+COUNTIFS(Backlog!$B$2:$B$200,A14,Backlog!$I$2:$I$200,"Livré")+COUNTIFS(Backlog!$B$2:$B$200,A14,Backlog!$I$2:$I$200,"Clôturé")</x:f>
        <x:v>0</x:v>
      </x:c>
      <x:c r="H14" s="18" t="n">
        <x:f>IF(F14=0,0,G14/F14)</x:f>
        <x:v>0</x:v>
      </x:c>
    </x:row>
    <x:row r="15">
      <x:c r="A15" s="13" t="str">
        <x:v>Scénarios</x:v>
      </x:c>
      <x:c r="B15" s="13" t="str">
        <x:v>Simuler des hypothèses explicites avec impacts trésorerie et patrimoine.</x:v>
      </x:c>
      <x:c r="C15" s="13" t="str">
        <x:v>François / Product Owner</x:v>
      </x:c>
      <x:c r="D15" s="13" t="str">
        <x:v>V0.6.6-R7.1</x:v>
      </x:c>
      <x:c r="E15" s="13" t="str">
        <x:v>À piloter</x:v>
      </x:c>
      <x:c r="F15" s="13" t="n">
        <x:f>COUNTIF(Backlog!$B$2:$B$200,A15)</x:f>
        <x:v>3</x:v>
      </x:c>
      <x:c r="G15" s="13" t="n">
        <x:f>COUNTIFS(Backlog!$B$2:$B$200,A15,Backlog!$I$2:$I$200,"Validé")+COUNTIFS(Backlog!$B$2:$B$200,A15,Backlog!$I$2:$I$200,"Livré")+COUNTIFS(Backlog!$B$2:$B$200,A15,Backlog!$I$2:$I$200,"Clôturé")</x:f>
        <x:v>0</x:v>
      </x:c>
      <x:c r="H15" s="18" t="n">
        <x:f>IF(F15=0,0,G15/F15)</x:f>
        <x:v>0</x:v>
      </x:c>
    </x:row>
    <x:row r="16">
      <x:c r="A16" s="13" t="str">
        <x:v>Socle Premium</x:v>
      </x:c>
      <x:c r="B16" s="13" t="str">
        <x:v>Préparer les fonctions avancées sans fragiliser le socle gratuit.</x:v>
      </x:c>
      <x:c r="C16" s="13" t="str">
        <x:v>François / Product Owner</x:v>
      </x:c>
      <x:c r="D16" s="13" t="str">
        <x:v>V0.8.0</x:v>
      </x:c>
      <x:c r="E16" s="13" t="str">
        <x:v>À piloter</x:v>
      </x:c>
      <x:c r="F16" s="13" t="n">
        <x:f>COUNTIF(Backlog!$B$2:$B$200,A16)</x:f>
        <x:v>3</x:v>
      </x:c>
      <x:c r="G16" s="13" t="n">
        <x:f>COUNTIFS(Backlog!$B$2:$B$200,A16,Backlog!$I$2:$I$200,"Validé")+COUNTIFS(Backlog!$B$2:$B$200,A16,Backlog!$I$2:$I$200,"Livré")+COUNTIFS(Backlog!$B$2:$B$200,A16,Backlog!$I$2:$I$200,"Clôturé")</x:f>
        <x:v>0</x:v>
      </x:c>
      <x:c r="H16" s="18" t="n">
        <x:f>IF(F16=0,0,G16/F16)</x:f>
        <x:v>0</x:v>
      </x:c>
    </x:row>
    <x:row r="17">
      <x:c r="A17" s="13" t="str">
        <x:v>Sécurité</x:v>
      </x:c>
      <x:c r="B17" s="13" t="str">
        <x:v>Protéger l'accès, la base locale, les sauvegardes et les futurs secrets.</x:v>
      </x:c>
      <x:c r="C17" s="13" t="str">
        <x:v>François / Product Owner</x:v>
      </x:c>
      <x:c r="D17" s="13" t="str">
        <x:v>V0.6.8</x:v>
      </x:c>
      <x:c r="E17" s="13" t="str">
        <x:v>À piloter</x:v>
      </x:c>
      <x:c r="F17" s="13" t="n">
        <x:f>COUNTIF(Backlog!$B$2:$B$200,A17)</x:f>
        <x:v>5</x:v>
      </x:c>
      <x:c r="G17" s="13" t="n">
        <x:f>COUNTIFS(Backlog!$B$2:$B$200,A17,Backlog!$I$2:$I$200,"Validé")+COUNTIFS(Backlog!$B$2:$B$200,A17,Backlog!$I$2:$I$200,"Livré")+COUNTIFS(Backlog!$B$2:$B$200,A17,Backlog!$I$2:$I$200,"Clôturé")</x:f>
        <x:v>0</x:v>
      </x:c>
      <x:c r="H17" s="18" t="n">
        <x:f>IF(F17=0,0,G17/F17)</x:f>
        <x:v>0</x:v>
      </x:c>
    </x:row>
    <x:row r="18">
      <x:c r="A18" s="13" t="str">
        <x:v>Transactions</x:v>
      </x:c>
      <x:c r="B18" s="13" t="str">
        <x:v>Fiabiliser la saisie, la modification, l'import, la catégorisation et les actions groupées.</x:v>
      </x:c>
      <x:c r="C18" s="13" t="str">
        <x:v>François / Product Owner</x:v>
      </x:c>
      <x:c r="D18" s="13" t="str">
        <x:v>V0.6.6-R7.1</x:v>
      </x:c>
      <x:c r="E18" s="13" t="str">
        <x:v>À piloter</x:v>
      </x:c>
      <x:c r="F18" s="13" t="n">
        <x:f>COUNTIF(Backlog!$B$2:$B$200,A18)</x:f>
        <x:v>1</x:v>
      </x:c>
      <x:c r="G18" s="13" t="n">
        <x:f>COUNTIFS(Backlog!$B$2:$B$200,A18,Backlog!$I$2:$I$200,"Validé")+COUNTIFS(Backlog!$B$2:$B$200,A18,Backlog!$I$2:$I$200,"Livré")+COUNTIFS(Backlog!$B$2:$B$200,A18,Backlog!$I$2:$I$200,"Clôturé")</x:f>
        <x:v>1</x:v>
      </x:c>
      <x:c r="H18" s="18" t="n">
        <x:f>IF(F18=0,0,G18/F18)</x:f>
        <x:v>1</x:v>
      </x:c>
    </x:row>
    <x:row r="19">
      <x:c r="A19" s="13" t="str">
        <x:v>UX globale</x:v>
      </x:c>
      <x:c r="B19" s="13" t="str">
        <x:v>Harmoniser les tableaux, menus contextuels, colonnes et interactions.</x:v>
      </x:c>
      <x:c r="C19" s="13" t="str">
        <x:v>François / Product Owner</x:v>
      </x:c>
      <x:c r="D19" s="13" t="str">
        <x:v>V0.6.7</x:v>
      </x:c>
      <x:c r="E19" s="13" t="str">
        <x:v>À piloter</x:v>
      </x:c>
      <x:c r="F19" s="13" t="n">
        <x:f>COUNTIF(Backlog!$B$2:$B$200,A19)</x:f>
        <x:v>4</x:v>
      </x:c>
      <x:c r="G19" s="13" t="n">
        <x:f>COUNTIFS(Backlog!$B$2:$B$200,A19,Backlog!$I$2:$I$200,"Validé")+COUNTIFS(Backlog!$B$2:$B$200,A19,Backlog!$I$2:$I$200,"Livré")+COUNTIFS(Backlog!$B$2:$B$200,A19,Backlog!$I$2:$I$200,"Clôturé")</x:f>
        <x:v>0</x:v>
      </x:c>
      <x:c r="H19" s="18" t="n">
        <x:f>IF(F19=0,0,G19/F19)</x:f>
        <x:v>0</x:v>
      </x:c>
    </x:row>
  </x:sheetData>
  <x:conditionalFormatting sqref="H2:H19">
    <x:cfRule type="dataBar" priority="1">
      <x:dataBar>
        <x:cfvo type="min"/>
        <x:cfvo type="max"/>
        <x:color rgb="FF2F66E8"/>
      </x:dataBar>
      <x:extLst>
        <x:ext xmlns:x14="http://schemas.microsoft.com/office/spreadsheetml/2009/9/main" uri="{B025F937-C7B1-47D3-B67F-A62EFF666E3E}">
          <x14:id>{BC4EBF51-3687-2B66-C7FA-3AA9A8C216A2}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e9a6d9bac7e8473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C4EBF51-3687-2B66-C7FA-3AA9A8C216A2}">
            <x14:dataBar gradient="1">
              <x14:cfvo type="min"/>
              <x14:cfvo type="max"/>
              <x14:fillColor rgb="FF2F66E8"/>
            </x14:dataBar>
          </x14:cfRule>
          <xm:sqref>H2:H19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2" hidden="0" customWidth="1"/>
    <x:col min="3" max="3" width="48" hidden="0" customWidth="1"/>
    <x:col min="4" max="4" width="48" hidden="0" customWidth="1"/>
  </x:cols>
  <x:sheetData>
    <x:row r="1" ht="30" customHeight="1">
      <x:c r="A1" s="20" t="str">
        <x:v>Élément</x:v>
      </x:c>
      <x:c r="B1" s="20" t="str">
        <x:v>Valeur recommandée</x:v>
      </x:c>
      <x:c r="C1" s="20" t="str">
        <x:v>Utilisation</x:v>
      </x:c>
      <x:c r="D1" s="20" t="str">
        <x:v>Action immédiate</x:v>
      </x:c>
    </x:row>
    <x:row r="2">
      <x:c r="A2" s="13" t="str">
        <x:v>Préfixes de titres</x:v>
      </x:c>
      <x:c r="B2" s="13" t="str">
        <x:v>[EPIC] / [BUG] / [FEATURE] / [UX] / [TECH] / [DOC]</x:v>
      </x:c>
      <x:c r="C2" s="13" t="str">
        <x:v>Identifier la nature du ticket dès son titre.</x:v>
      </x:c>
      <x:c r="D2" s="13" t="str">
        <x:v>Appliquer aux nouvelles issues; ne pas renommer en masse pendant la recette.</x:v>
      </x:c>
    </x:row>
    <x:row r="3">
      <x:c r="A3" s="13" t="str">
        <x:v>Labels de priorité</x:v>
      </x:c>
      <x:c r="B3" s="13" t="str">
        <x:v>P0 - Bloquant; P1 - Important; P2 - Amélioration; P3 - Idée</x:v>
      </x:c>
      <x:c r="C3" s="13" t="str">
        <x:v>Prioriser le travail et les critères GO/NO GO.</x:v>
      </x:c>
      <x:c r="D3" s="13" t="str">
        <x:v>Conserver les labels P0/P1/P2 existants et ajouter P3.</x:v>
      </x:c>
    </x:row>
    <x:row r="4">
      <x:c r="A4" s="13" t="str">
        <x:v>Labels de type</x:v>
      </x:c>
      <x:c r="B4" s="13" t="str">
        <x:v>bug; feature; ux; tech; documentation; test; security</x:v>
      </x:c>
      <x:c r="C4" s="13" t="str">
        <x:v>Filtrer les issues par nature.</x:v>
      </x:c>
      <x:c r="D4" s="13" t="str">
        <x:v>Créer uniquement les labels manquants.</x:v>
      </x:c>
    </x:row>
    <x:row r="5">
      <x:c r="A5" s="13" t="str">
        <x:v>Labels de statut</x:v>
      </x:c>
      <x:c r="B5" s="13" t="str">
        <x:v>À analyser; Prêt; En cours; À retester; Bloqué</x:v>
      </x:c>
      <x:c r="C5" s="13" t="str">
        <x:v>Compléter l'état de l'issue en plus de la fermeture GitHub.</x:v>
      </x:c>
      <x:c r="D5" s="13" t="str">
        <x:v>Optionnel si le Project GitHub porte déjà le statut.</x:v>
      </x:c>
    </x:row>
    <x:row r="6">
      <x:c r="A6" s="13" t="str">
        <x:v>Milestone actuelle</x:v>
      </x:c>
      <x:c r="B6" s="13" t="str">
        <x:v>V0.6.6-R7 - Correctifs recette R6.1</x:v>
      </x:c>
      <x:c r="C6" s="13" t="str">
        <x:v>Regrouper R7.1, R7.2 et R7.3.</x:v>
      </x:c>
      <x:c r="D6" s="13" t="str">
        <x:v>Rattacher les bugs détectés pendant la recette.</x:v>
      </x:c>
    </x:row>
    <x:row r="7">
      <x:c r="A7" s="13" t="str">
        <x:v>Milestone suivante</x:v>
      </x:c>
      <x:c r="B7" s="13" t="str">
        <x:v>V0.6.7 - Stabilisation et gestion des comptes</x:v>
      </x:c>
      <x:c r="C7" s="13" t="str">
        <x:v>Porter les évolutions comptes et UX transverse.</x:v>
      </x:c>
      <x:c r="D7" s="13" t="str">
        <x:v>Créer après validation de la roadmap.</x:v>
      </x:c>
    </x:row>
    <x:row r="8">
      <x:c r="A8" s="13" t="str">
        <x:v>Epic comptes</x:v>
      </x:c>
      <x:c r="B8" s="13" t="str">
        <x:v>[EPIC] Gestion complète des comptes bancaires</x:v>
      </x:c>
      <x:c r="C8" s="13" t="str">
        <x:v>Parent des sub-issues de gestion des comptes.</x:v>
      </x:c>
      <x:c r="D8" s="13" t="str">
        <x:v>Créer puis ajouter les 7 sub-issues préparées.</x:v>
      </x:c>
    </x:row>
    <x:row r="9">
      <x:c r="A9" s="13" t="str">
        <x:v>Project GitHub</x:v>
      </x:c>
      <x:c r="B9" s="13" t="str">
        <x:v>Valoria Vision - Pilotage produit</x:v>
      </x:c>
      <x:c r="C9" s="13" t="str">
        <x:v>Vue Tableau : Backlog / Prêt / En cours / À retester / Terminé.</x:v>
      </x:c>
      <x:c r="D9" s="13" t="str">
        <x:v>Créer ou lier au dépôt quand la Phase 1 est déposée.</x:v>
      </x:c>
    </x:row>
    <x:row r="10">
      <x:c r="A10" s="13" t="str">
        <x:v>Règle de fermeture</x:v>
      </x:c>
      <x:c r="B10" s="13" t="str">
        <x:v>Une issue n'est fermée qu'après recette OK</x:v>
      </x:c>
      <x:c r="C10" s="13" t="str">
        <x:v>Éviter les corrections non validées.</x:v>
      </x:c>
      <x:c r="D10" s="13" t="str">
        <x:v>Ajouter le résultat de test avant Close issue.</x:v>
      </x:c>
    </x:row>
    <x:row r="11">
      <x:c r="A11" s="13" t="str">
        <x:v>Commit documentation</x:v>
      </x:c>
      <x:c r="B11" s="13" t="str">
        <x:v>docs: ajoute ou met à jour &lt;document&gt;</x:v>
      </x:c>
      <x:c r="C11" s="13" t="str">
        <x:v>Historique clair des modifications documentaires.</x:v>
      </x:c>
      <x:c r="D11" s="13" t="str">
        <x:v>Utiliser ce préfixe pour chaque dépôt de document.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3" t="str">
        <x:v>Priorités</x:v>
      </x:c>
      <x:c r="B1" s="3" t="str">
        <x:v>Statuts</x:v>
      </x:c>
      <x:c r="C1" s="3" t="str">
        <x:v>Types</x:v>
      </x:c>
      <x:c r="D1" s="3" t="str">
        <x:v>Versions</x:v>
      </x:c>
      <x:c r="F1" s="54" t="str">
        <x:v>Feuille technique : ne pas supprimer.</x:v>
      </x:c>
    </x:row>
    <x:row r="2">
      <x:c r="A2" t="str">
        <x:v>P0</x:v>
      </x:c>
      <x:c r="B2" t="str">
        <x:v>À faire</x:v>
      </x:c>
      <x:c r="C2" t="str">
        <x:v>Bug</x:v>
      </x:c>
      <x:c r="D2" t="str">
        <x:v>Phase 1</x:v>
      </x:c>
    </x:row>
    <x:row r="3">
      <x:c r="A3" t="str">
        <x:v>P1</x:v>
      </x:c>
      <x:c r="B3" t="str">
        <x:v>À corriger</x:v>
      </x:c>
      <x:c r="C3" t="str">
        <x:v>Feature</x:v>
      </x:c>
      <x:c r="D3" t="str">
        <x:v>Phase 2</x:v>
      </x:c>
    </x:row>
    <x:row r="4">
      <x:c r="A4" t="str">
        <x:v>P2</x:v>
      </x:c>
      <x:c r="B4" t="str">
        <x:v>En cours</x:v>
      </x:c>
      <x:c r="C4" t="str">
        <x:v>UX</x:v>
      </x:c>
      <x:c r="D4" t="str">
        <x:v>V0.6.6-R7.1</x:v>
      </x:c>
    </x:row>
    <x:row r="5">
      <x:c r="A5" t="str">
        <x:v>P3</x:v>
      </x:c>
      <x:c r="B5" t="str">
        <x:v>À retester</x:v>
      </x:c>
      <x:c r="C5" t="str">
        <x:v>Tech</x:v>
      </x:c>
      <x:c r="D5" t="str">
        <x:v>V0.6.6-R7.2</x:v>
      </x:c>
    </x:row>
    <x:row r="6">
      <x:c r="B6" t="str">
        <x:v>Validé</x:v>
      </x:c>
      <x:c r="C6" t="str">
        <x:v>Test</x:v>
      </x:c>
      <x:c r="D6" t="str">
        <x:v>V0.6.6-R7.3</x:v>
      </x:c>
    </x:row>
    <x:row r="7">
      <x:c r="B7" t="str">
        <x:v>Livré</x:v>
      </x:c>
      <x:c r="C7" t="str">
        <x:v>Documentation</x:v>
      </x:c>
      <x:c r="D7" t="str">
        <x:v>V0.6.7</x:v>
      </x:c>
    </x:row>
    <x:row r="8">
      <x:c r="B8" t="str">
        <x:v>Planifié</x:v>
      </x:c>
      <x:c r="C8" t="str">
        <x:v>Audit</x:v>
      </x:c>
      <x:c r="D8" t="str">
        <x:v>V0.6.8</x:v>
      </x:c>
    </x:row>
    <x:row r="9">
      <x:c r="B9" t="str">
        <x:v>À arbitrer</x:v>
      </x:c>
      <x:c r="C9" t="str">
        <x:v>Performance</x:v>
      </x:c>
      <x:c r="D9" t="str">
        <x:v>V0.7.0</x:v>
      </x:c>
    </x:row>
    <x:row r="10">
      <x:c r="B10" t="str">
        <x:v>Idée priorisée</x:v>
      </x:c>
      <x:c r="C10" t="str">
        <x:v>Règle métier</x:v>
      </x:c>
      <x:c r="D10" t="str">
        <x:v>V0.8.0</x:v>
      </x:c>
    </x:row>
    <x:row r="11">
      <x:c r="B11" t="str">
        <x:v>Clôturé</x:v>
      </x:c>
      <x:c r="C11" t="str">
        <x:v>Standard UX</x:v>
      </x:c>
      <x:c r="D11" t="str">
        <x:v>V0.9.0</x:v>
      </x:c>
    </x:row>
    <x:row r="12">
      <x:c r="C12" t="str">
        <x:v>Release</x:v>
      </x:c>
      <x:c r="D12" t="str">
        <x:v>V1.0.0</x:v>
      </x:c>
    </x:row>
    <x:row r="13">
      <x:c r="D13" t="str">
        <x:v>Post V1</x:v>
      </x:c>
    </x:row>
  </x:sheetData>
  <x:pageMargins left="0.7" right="0.7" top="0.75" bottom="0.75" header="0.3" footer="0.3"/>
</x:worksheet>
</file>