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248fd3169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bord" sheetId="1" r:id="R529e6705c4cb4d84"/>
    <x:sheet xmlns:r="http://schemas.openxmlformats.org/officeDocument/2006/relationships" name="Suivi anomalies R7" sheetId="2" r:id="Rfecc382bb39940a8"/>
    <x:sheet xmlns:r="http://schemas.openxmlformats.org/officeDocument/2006/relationships" name="Matrice recette R7.1" sheetId="3" r:id="Rc2c9b656f3224eea"/>
    <x:sheet xmlns:r="http://schemas.openxmlformats.org/officeDocument/2006/relationships" name="Plan correction R7.1" sheetId="4" r:id="R2167abbf4e054982"/>
    <x:sheet xmlns:r="http://schemas.openxmlformats.org/officeDocument/2006/relationships" name="Référentiel" sheetId="5" r:id="Rd15f773956b0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0F172A"/>
      <x:name val="Carlito"/>
    </x:font>
    <x:font>
      <x:b/>
      <x:sz val="11"/>
      <x:color rgb="FF0F172A"/>
      <x:name val="Carlito"/>
    </x:font>
    <x:font>
      <x:b/>
      <x:sz val="16"/>
      <x:color rgb="FF0F172A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20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0" fillId="4" borderId="1" xfId="0" applyNumberFormat="1" applyFont="1" applyFill="1" applyBorder="1"/>
    <x:xf numFmtId="0" fontId="5" fillId="4" borderId="1" xfId="0" applyNumberFormat="1" applyFont="1" applyFill="1" applyBorder="1"/>
    <x:xf numFmtId="20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7">
    <x:dxf>
      <x:fill>
        <x:patternFill patternType="solid">
          <x:bgColor rgb="FFFCA5A5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CA5A5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ce30e248c492d" /><Relationship Type="http://schemas.openxmlformats.org/officeDocument/2006/relationships/theme" Target="/xl/theme/theme1.xml" Id="R82f5153cdbeb442c" /><Relationship Type="http://schemas.openxmlformats.org/officeDocument/2006/relationships/sharedStrings" Target="/xl/sharedStrings.xml" Id="R14d50d4128134937" /><Relationship Type="http://schemas.openxmlformats.org/officeDocument/2006/relationships/worksheet" Target="/xl/worksheets/sheet1.xml" Id="R529e6705c4cb4d84" /><Relationship Type="http://schemas.openxmlformats.org/officeDocument/2006/relationships/worksheet" Target="/xl/worksheets/sheet2.xml" Id="Rfecc382bb39940a8" /><Relationship Type="http://schemas.openxmlformats.org/officeDocument/2006/relationships/worksheet" Target="/xl/worksheets/sheet3.xml" Id="Rc2c9b656f3224eea" /><Relationship Type="http://schemas.openxmlformats.org/officeDocument/2006/relationships/worksheet" Target="/xl/worksheets/sheet4.xml" Id="R2167abbf4e054982" /><Relationship Type="http://schemas.openxmlformats.org/officeDocument/2006/relationships/worksheet" Target="/xl/worksheets/sheet5.xml" Id="Rd15f773956b047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1a3ccb69fc45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Anomalies par priorité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'Tableau de bord'!$A$9:$A$11</c:f>
              <c:strCache>
                <c:ptCount val="0"/>
              </c:strCache>
            </c:strRef>
          </c:cat>
          <c:val>
            <c:numRef>
              <c:f>'Tableau de bord'!$B$9:$B$11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1a3ccb69fc45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omaliesR7" displayName="AnomaliesR7" ref="A1:O23" headerRowCount="1">
  <x:tableColumns count="15">
    <x:tableColumn id="1" name="ID"/>
    <x:tableColumn id="2" name="Priorité"/>
    <x:tableColumn id="3" name="Module"/>
    <x:tableColumn id="4" name="Issue GitHub"/>
    <x:tableColumn id="5" name="Titre"/>
    <x:tableColumn id="6" name="Type"/>
    <x:tableColumn id="7" name="Statut recette R6.1"/>
    <x:tableColumn id="8" name="Statut correction"/>
    <x:tableColumn id="9" name="Sprint"/>
    <x:tableColumn id="10" name="Responsable"/>
    <x:tableColumn id="11" name="Date création"/>
    <x:tableColumn id="12" name="Date correction"/>
    <x:tableColumn id="13" name="Tests à rejouer"/>
    <x:tableColumn id="14" name="Critère d'acceptation"/>
    <x:tableColumn id="15" name="Commentaire"/>
  </x:tableColumns>
  <x:tableStyleInfo name="TableStyleMedium2" showRowStripes="1"/>
</x:table>
</file>

<file path=xl/tables/table2.xml><?xml version="1.0" encoding="utf-8"?>
<x:table xmlns:x="http://schemas.openxmlformats.org/spreadsheetml/2006/main" id="2" name="MatriceR71" displayName="MatriceR71" ref="A1:N32" headerRowCount="1">
  <x:tableColumns count="14">
    <x:tableColumn id="1" name="ID test"/>
    <x:tableColumn id="2" name="Priorité"/>
    <x:tableColumn id="3" name="Module"/>
    <x:tableColumn id="4" name="Issue liée"/>
    <x:tableColumn id="5" name="Objectif du test"/>
    <x:tableColumn id="6" name="Préconditions"/>
    <x:tableColumn id="7" name="Étapes de test"/>
    <x:tableColumn id="8" name="Résultat attendu"/>
    <x:tableColumn id="9" name="Statut R6.1"/>
    <x:tableColumn id="10" name="Résultat R7.1"/>
    <x:tableColumn id="11" name="Statut après correction"/>
    <x:tableColumn id="12" name="Testeur"/>
    <x:tableColumn id="13" name="Date test"/>
    <x:tableColumn id="14" name="Commentaire"/>
  </x:tableColumns>
  <x:tableStyleInfo name="TableStyleMedium2" showRowStripes="1"/>
</x:table>
</file>

<file path=xl/tables/table3.xml><?xml version="1.0" encoding="utf-8"?>
<x:table xmlns:x="http://schemas.openxmlformats.org/spreadsheetml/2006/main" id="3" name="PlanR71" displayName="PlanR71" ref="A1:H8" headerRowCount="1">
  <x:tableColumns count="8">
    <x:tableColumn id="1" name="Ordre"/>
    <x:tableColumn id="2" name="Lot"/>
    <x:tableColumn id="3" name="Module"/>
    <x:tableColumn id="4" name="Issues"/>
    <x:tableColumn id="5" name="Travail de correction"/>
    <x:tableColumn id="6" name="Critères d'acceptation"/>
    <x:tableColumn id="7" name="Tests principaux"/>
    <x:tableColumn id="8" name="Stat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f1e8bfbee348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13b30930cf46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4c5b4bdd8844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cb6e62aa884f1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12" hidden="0" customWidth="1"/>
    <x:col min="5" max="5" width="48" hidden="0" customWidth="1"/>
    <x:col min="6" max="6" width="12" hidden="0" customWidth="1"/>
    <x:col min="7" max="7" width="20" hidden="0" customWidth="1"/>
    <x:col min="8" max="8" width="20" hidden="0" customWidth="1"/>
  </x:cols>
  <x:sheetData>
    <x:row r="1" ht="26" customHeight="1">
      <x:c r="A1" s="19" t="str">
        <x:v>Valoria Vision — Pilotage correctif V0.6.6-R7.1</x:v>
      </x:c>
      <x:c r="B1" s="19"/>
      <x:c r="C1" s="19"/>
      <x:c r="D1" s="19"/>
      <x:c r="E1" s="19"/>
      <x:c r="F1" s="19"/>
      <x:c r="G1" s="19"/>
      <x:c r="H1" s="19"/>
    </x:row>
    <x:row r="2">
      <x:c r="A2" s="25" t="str">
        <x:v>Base : V0.6.6-R6.1 | Décision recette : NO GO | Objectif : corriger les P0 cœur métier avant nouvelle recette</x:v>
      </x:c>
      <x:c r="B2" s="25"/>
      <x:c r="C2" s="25"/>
      <x:c r="D2" s="25"/>
      <x:c r="E2" s="25"/>
      <x:c r="F2" s="25"/>
      <x:c r="G2" s="25"/>
      <x:c r="H2" s="25"/>
    </x:row>
    <x:row r="4">
      <x:c r="A4" s="31" t="str">
        <x:v>Anomalies totales</x:v>
      </x:c>
      <x:c r="B4" s="31"/>
      <x:c r="C4" s="31" t="str">
        <x:v>P0 à corriger</x:v>
      </x:c>
      <x:c r="D4" s="31"/>
      <x:c r="E4" s="31" t="str">
        <x:v>Tests R7.1 à rejouer</x:v>
      </x:c>
      <x:c r="F4" s="31"/>
      <x:c r="G4" s="31" t="str">
        <x:v>Progression anomalies</x:v>
      </x:c>
      <x:c r="H4" s="31"/>
    </x:row>
    <x:row r="5">
      <x:c r="A5" s="39" t="n">
        <x:f>COUNTA('Suivi anomalies R7'!$A$2:$A$23)</x:f>
        <x:v>22</x:v>
      </x:c>
      <x:c r="B5" s="39"/>
      <x:c r="C5" s="39" t="n">
        <x:f>COUNTIFS('Suivi anomalies R7'!$B$2:$B$23,"P0",'Suivi anomalies R7'!$H$2:$H$23,"À corriger")</x:f>
        <x:v>12</x:v>
      </x:c>
      <x:c r="D5" s="39"/>
      <x:c r="E5" s="39" t="n">
        <x:f>COUNTIF('Matrice recette R7.1'!$J$2:$J$32,"À rejouer")</x:f>
        <x:v>31</x:v>
      </x:c>
      <x:c r="F5" s="39"/>
      <x:c r="G5" s="40" t="n">
        <x:f>IFERROR(COUNTIF('Suivi anomalies R7'!$H$2:$H$23,"Clôturée")/COUNTA('Suivi anomalies R7'!$A$2:$A$23),0)</x:f>
        <x:v>0</x:v>
      </x:c>
      <x:c r="H5" s="40"/>
    </x:row>
    <x:row r="8">
      <x:c r="A8" s="6" t="str">
        <x:v>Priorité</x:v>
      </x:c>
      <x:c r="B8" s="6" t="str">
        <x:v>Total</x:v>
      </x:c>
      <x:c r="C8" s="6" t="str">
        <x:v>À corriger</x:v>
      </x:c>
      <x:c r="D8" s="6" t="str">
        <x:v>En cours</x:v>
      </x:c>
      <x:c r="E8" s="6" t="str">
        <x:v>À retester</x:v>
      </x:c>
      <x:c r="F8" s="6" t="str">
        <x:v>Corrigée/Clôturée</x:v>
      </x:c>
    </x:row>
    <x:row r="9">
      <x:c r="A9" s="51" t="str">
        <x:v>P0</x:v>
      </x:c>
      <x:c r="B9" s="48" t="n">
        <x:f>COUNTIF('Suivi anomalies R7'!$B$2:$B$23,"P0")</x:f>
        <x:v>12</x:v>
      </x:c>
      <x:c r="C9" s="48" t="n">
        <x:f>COUNTIFS('Suivi anomalies R7'!$B$2:$B$23,"P0",'Suivi anomalies R7'!$H$2:$H$23,"À corriger")</x:f>
        <x:v>12</x:v>
      </x:c>
      <x:c r="D9" s="48" t="n">
        <x:f>COUNTIFS('Suivi anomalies R7'!$B$2:$B$23,"P0",'Suivi anomalies R7'!$H$2:$H$23,"En cours")</x:f>
        <x:v>0</x:v>
      </x:c>
      <x:c r="E9" s="48" t="n">
        <x:f>COUNTIFS('Suivi anomalies R7'!$B$2:$B$23,"P0",'Suivi anomalies R7'!$H$2:$H$23,"À retester")</x:f>
        <x:v>0</x:v>
      </x:c>
      <x:c r="F9" s="48" t="n">
        <x:f>COUNTIFS('Suivi anomalies R7'!$B$2:$B$23,"P0",'Suivi anomalies R7'!$H$2:$H$23,"Clôturée")+COUNTIFS('Suivi anomalies R7'!$B$2:$B$23,"P0",'Suivi anomalies R7'!$H$2:$H$23,"Corrigée")</x:f>
        <x:v>0</x:v>
      </x:c>
    </x:row>
    <x:row r="10">
      <x:c r="A10" s="51" t="str">
        <x:v>P1</x:v>
      </x:c>
      <x:c r="B10" s="48" t="n">
        <x:f>COUNTIF('Suivi anomalies R7'!$B$2:$B$23,"P1")</x:f>
        <x:v>6</x:v>
      </x:c>
      <x:c r="C10" s="48" t="n">
        <x:f>COUNTIFS('Suivi anomalies R7'!$B$2:$B$23,"P1",'Suivi anomalies R7'!$H$2:$H$23,"À corriger")</x:f>
        <x:v>6</x:v>
      </x:c>
      <x:c r="D10" s="48" t="n">
        <x:f>COUNTIFS('Suivi anomalies R7'!$B$2:$B$23,"P1",'Suivi anomalies R7'!$H$2:$H$23,"En cours")</x:f>
        <x:v>0</x:v>
      </x:c>
      <x:c r="E10" s="48" t="n">
        <x:f>COUNTIFS('Suivi anomalies R7'!$B$2:$B$23,"P1",'Suivi anomalies R7'!$H$2:$H$23,"À retester")</x:f>
        <x:v>0</x:v>
      </x:c>
      <x:c r="F10" s="48" t="n">
        <x:f>COUNTIFS('Suivi anomalies R7'!$B$2:$B$23,"P1",'Suivi anomalies R7'!$H$2:$H$23,"Clôturée")+COUNTIFS('Suivi anomalies R7'!$B$2:$B$23,"P1",'Suivi anomalies R7'!$H$2:$H$23,"Corrigée")</x:f>
        <x:v>0</x:v>
      </x:c>
    </x:row>
    <x:row r="11">
      <x:c r="A11" s="51" t="str">
        <x:v>P2</x:v>
      </x:c>
      <x:c r="B11" s="48" t="n">
        <x:f>COUNTIF('Suivi anomalies R7'!$B$2:$B$23,"P2")</x:f>
        <x:v>4</x:v>
      </x:c>
      <x:c r="C11" s="48" t="n">
        <x:f>COUNTIFS('Suivi anomalies R7'!$B$2:$B$23,"P2",'Suivi anomalies R7'!$H$2:$H$23,"À corriger")</x:f>
        <x:v>4</x:v>
      </x:c>
      <x:c r="D11" s="48" t="n">
        <x:f>COUNTIFS('Suivi anomalies R7'!$B$2:$B$23,"P2",'Suivi anomalies R7'!$H$2:$H$23,"En cours")</x:f>
        <x:v>0</x:v>
      </x:c>
      <x:c r="E11" s="48" t="n">
        <x:f>COUNTIFS('Suivi anomalies R7'!$B$2:$B$23,"P2",'Suivi anomalies R7'!$H$2:$H$23,"À retester")</x:f>
        <x:v>0</x:v>
      </x:c>
      <x:c r="F11" s="48" t="n">
        <x:f>COUNTIFS('Suivi anomalies R7'!$B$2:$B$23,"P2",'Suivi anomalies R7'!$H$2:$H$23,"Clôturée")+COUNTIFS('Suivi anomalies R7'!$B$2:$B$23,"P2",'Suivi anomalies R7'!$H$2:$H$23,"Corrigée")</x:f>
        <x:v>0</x:v>
      </x:c>
    </x:row>
    <x:row r="14">
      <x:c r="A14" s="6" t="str">
        <x:v>Critères de sortie R7.1</x:v>
      </x:c>
      <x:c r="B14" s="6"/>
      <x:c r="C14" s="6"/>
      <x:c r="D14" s="6" t="str">
        <x:v>Mode d’emploi rapide</x:v>
      </x:c>
      <x:c r="E14" s="6"/>
      <x:c r="F14" s="6"/>
      <x:c r="G14" s="6"/>
      <x:c r="H14" s="6"/>
    </x:row>
    <x:row r="15">
      <x:c r="A15" s="6" t="str">
        <x:v>Critère</x:v>
      </x:c>
      <x:c r="B15" s="6" t="str">
        <x:v>Statut</x:v>
      </x:c>
      <x:c r="D15" s="55" t="str">
        <x:v>1</x:v>
      </x:c>
      <x:c r="E15" s="14" t="str">
        <x:v>Développeur : traiter les P0 dans l’ordre du Plan correction R7.1.</x:v>
      </x:c>
    </x:row>
    <x:row r="16">
      <x:c r="A16" s="14" t="str">
        <x:v>Toutes les issues P0 corrigées ou requalifiées</x:v>
      </x:c>
      <x:c r="B16" t="str">
        <x:v>À vérifier</x:v>
      </x:c>
      <x:c r="D16" s="55" t="str">
        <x:v>2</x:v>
      </x:c>
      <x:c r="E16" s="14" t="str">
        <x:v>Mettre à jour le statut des issues dans Suivi anomalies R7.</x:v>
      </x:c>
    </x:row>
    <x:row r="17">
      <x:c r="A17" s="14" t="str">
        <x:v>Aucun nouveau KO majeur introduit</x:v>
      </x:c>
      <x:c r="B17" t="str">
        <x:v>À vérifier</x:v>
      </x:c>
      <x:c r="D17" s="55" t="str">
        <x:v>3</x:v>
      </x:c>
      <x:c r="E17" s="14" t="str">
        <x:v>Quand une correction est livrée, passer les tests liés dans Matrice recette R7.1.</x:v>
      </x:c>
    </x:row>
    <x:row r="18">
      <x:c r="A18" s="14" t="str">
        <x:v>Transactions entièrement modifiables</x:v>
      </x:c>
      <x:c r="B18" t="str">
        <x:v>À vérifier</x:v>
      </x:c>
      <x:c r="D18" s="55" t="str">
        <x:v>4</x:v>
      </x:c>
      <x:c r="E18" s="14" t="str">
        <x:v>Ne fermer une anomalie qu’après test OK ou requalification formelle.</x:v>
      </x:c>
    </x:row>
    <x:row r="19">
      <x:c r="A19" s="14" t="str">
        <x:v>Patrimoine cohérent</x:v>
      </x:c>
      <x:c r="B19" t="str">
        <x:v>À vérifier</x:v>
      </x:c>
      <x:c r="D19" s="55" t="str">
        <x:v>5</x:v>
      </x:c>
      <x:c r="E19" s="14" t="str">
        <x:v>Nouvelle recette R7.1 possible uniquement si tous les P0 sont corrigés/requalifiés.</x:v>
      </x:c>
    </x:row>
    <x:row r="20">
      <x:c r="A20" s="14" t="str">
        <x:v>Rapprochements exploitables</x:v>
      </x:c>
      <x:c r="B20" t="str">
        <x:v>À vérifier</x:v>
      </x:c>
    </x:row>
    <x:row r="21">
      <x:c r="A21" s="14" t="str">
        <x:v>Événements ponctuels disponibles</x:v>
      </x:c>
      <x:c r="B21" t="str">
        <x:v>À vérifier</x:v>
      </x:c>
    </x:row>
    <x:row r="22">
      <x:c r="A22" s="14" t="str">
        <x:v>Scénarios connectés au prévisionnel</x:v>
      </x:c>
      <x:c r="B22" t="str">
        <x:v>À vérifier</x:v>
      </x:c>
    </x:row>
    <x:row r="23">
      <x:c r="A23" s="14" t="str">
        <x:v>Règles automatiques applicables</x:v>
      </x:c>
      <x:c r="B23" t="str">
        <x:v>À vérifier</x:v>
      </x:c>
    </x:row>
    <x:row r="24">
      <x:c r="A24" s="14" t="str">
        <x:v>Budget, sauvegarde, sécurité locale et redémarrage toujours OK</x:v>
      </x:c>
      <x:c r="B24" t="str">
        <x:v>À vérifier</x:v>
      </x:c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14:H14"/>
    <x:mergeCell ref="D14:H14"/>
  </x:mergeCells>
  <x:conditionalFormatting sqref="B16:B24">
    <x:cfRule type="expression" dxfId="14" priority="1">
      <x:formula>B16="OK"</x:formula>
    </x:cfRule>
    <x:cfRule type="expression" dxfId="15" priority="2">
      <x:formula>B16="KO"</x:formula>
    </x:cfRule>
    <x:cfRule type="expression" dxfId="16" priority="3">
      <x:formula>B16="À vérifier"</x:formula>
    </x:cfRule>
  </x:conditionalFormatting>
  <x:dataValidations count="1">
    <x:dataValidation type="list" sqref="B16:B24">
      <x:formula1>"À vérifier,OK,KO,Bloqué"</x:formula1>
    </x:dataValidation>
  </x:dataValidations>
  <x:pageMargins left="0.7" right="0.7" top="0.75" bottom="0.75" header="0.3" footer="0.3"/>
  <x:drawing xmlns:r="http://schemas.openxmlformats.org/officeDocument/2006/relationships" r:id="Ra6f1e8bfbee34810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2" hidden="0" customWidth="1"/>
    <x:col min="5" max="5" width="42" hidden="0" customWidth="1"/>
    <x:col min="6" max="6" width="16" hidden="0" customWidth="1"/>
    <x:col min="7" max="7" width="24" hidden="0" customWidth="1"/>
    <x:col min="8" max="8" width="18" hidden="0" customWidth="1"/>
    <x:col min="9" max="9" width="10" hidden="0" customWidth="1"/>
    <x:col min="10" max="10" width="16" hidden="0" customWidth="1"/>
    <x:col min="11" max="11" width="14" hidden="0" customWidth="1"/>
    <x:col min="12" max="12" width="14" hidden="0" customWidth="1"/>
    <x:col min="13" max="13" width="28" hidden="0" customWidth="1"/>
    <x:col min="14" max="14" width="48" hidden="0" customWidth="1"/>
    <x:col min="15" max="15" width="28" hidden="0" customWidth="1"/>
  </x:cols>
  <x:sheetData>
    <x:row r="1" ht="26" customHeight="1">
      <x:c r="A1" s="6" t="str">
        <x:v>ID</x:v>
      </x:c>
      <x:c r="B1" s="6" t="str">
        <x:v>Priorité</x:v>
      </x:c>
      <x:c r="C1" s="6" t="str">
        <x:v>Module</x:v>
      </x:c>
      <x:c r="D1" s="6" t="str">
        <x:v>Issue GitHub</x:v>
      </x:c>
      <x:c r="E1" s="6" t="str">
        <x:v>Titre</x:v>
      </x:c>
      <x:c r="F1" s="6" t="str">
        <x:v>Type</x:v>
      </x:c>
      <x:c r="G1" s="6" t="str">
        <x:v>Statut recette R6.1</x:v>
      </x:c>
      <x:c r="H1" s="6" t="str">
        <x:v>Statut correction</x:v>
      </x:c>
      <x:c r="I1" s="6" t="str">
        <x:v>Sprint</x:v>
      </x:c>
      <x:c r="J1" s="6" t="str">
        <x:v>Responsable</x:v>
      </x:c>
      <x:c r="K1" s="6" t="str">
        <x:v>Date création</x:v>
      </x:c>
      <x:c r="L1" s="6" t="str">
        <x:v>Date correction</x:v>
      </x:c>
      <x:c r="M1" s="6" t="str">
        <x:v>Tests à rejouer</x:v>
      </x:c>
      <x:c r="N1" s="6" t="str">
        <x:v>Critère d'acceptation</x:v>
      </x:c>
      <x:c r="O1" s="6" t="str">
        <x:v>Commentaire</x:v>
      </x:c>
    </x:row>
    <x:row r="2">
      <x:c r="A2" s="14" t="str">
        <x:v>R7-P0-01</x:v>
      </x:c>
      <x:c r="B2" s="14" t="str">
        <x:v>P0</x:v>
      </x:c>
      <x:c r="C2" s="14" t="str">
        <x:v>Transactions</x:v>
      </x:c>
      <x:c r="D2" s="14" t="str">
        <x:v>#2</x:v>
      </x:c>
      <x:c r="E2" s="14" t="str">
        <x:v>Modification transaction limitée à la catégorie</x:v>
      </x:c>
      <x:c r="F2" s="14" t="str">
        <x:v>Anomalie</x:v>
      </x:c>
      <x:c r="G2" s="14" t="str">
        <x:v>KO majeur</x:v>
      </x:c>
      <x:c r="H2" s="14" t="str">
        <x:v>À corriger</x:v>
      </x:c>
      <x:c r="I2" s="14" t="str">
        <x:v>R7.1</x:v>
      </x:c>
      <x:c r="J2" s="14" t="str"/>
      <x:c r="K2" s="14" t="str"/>
      <x:c r="L2" s="14" t="str"/>
      <x:c r="M2" s="14" t="str">
        <x:v>T7, T4, T10, T93, T94</x:v>
      </x:c>
      <x:c r="N2" s="14" t="str">
        <x:v>Une transaction existante peut être entièrement modifiée et tous les impacts sont recalculés.</x:v>
      </x:c>
      <x:c r="O2" s="14" t="str"/>
    </x:row>
    <x:row r="3">
      <x:c r="A3" s="14" t="str">
        <x:v>R7-P0-02</x:v>
      </x:c>
      <x:c r="B3" s="14" t="str">
        <x:v>P0</x:v>
      </x:c>
      <x:c r="C3" s="14" t="str">
        <x:v>Patrimoine</x:v>
      </x:c>
      <x:c r="D3" s="14" t="str">
        <x:v>#23</x:v>
      </x:c>
      <x:c r="E3" s="14" t="str">
        <x:v>Impossible de modifier ou supprimer un actif patrimonial</x:v>
      </x:c>
      <x:c r="F3" s="14" t="str">
        <x:v>Anomalie</x:v>
      </x:c>
      <x:c r="G3" s="14" t="str">
        <x:v>KO majeur</x:v>
      </x:c>
      <x:c r="H3" s="14" t="str">
        <x:v>À corriger</x:v>
      </x:c>
      <x:c r="I3" s="14" t="str">
        <x:v>R7.1</x:v>
      </x:c>
      <x:c r="J3" s="14" t="str"/>
      <x:c r="K3" s="14" t="str"/>
      <x:c r="L3" s="14" t="str"/>
      <x:c r="M3" s="14" t="str">
        <x:v>T64, T65, T67, T94</x:v>
      </x:c>
      <x:c r="N3" s="14" t="str">
        <x:v>Les actifs peuvent être modifiés et supprimés sans incohérence.</x:v>
      </x:c>
      <x:c r="O3" s="14" t="str"/>
    </x:row>
    <x:row r="4">
      <x:c r="A4" s="14" t="str">
        <x:v>R7-P0-03</x:v>
      </x:c>
      <x:c r="B4" s="14" t="str">
        <x:v>P0</x:v>
      </x:c>
      <x:c r="C4" s="14" t="str">
        <x:v>Patrimoine</x:v>
      </x:c>
      <x:c r="D4" s="14" t="str">
        <x:v>#24</x:v>
      </x:c>
      <x:c r="E4" s="14" t="str">
        <x:v>Les passifs créés sont classés dans les actifs</x:v>
      </x:c>
      <x:c r="F4" s="14" t="str">
        <x:v>Anomalie</x:v>
      </x:c>
      <x:c r="G4" s="14" t="str">
        <x:v>KO majeur</x:v>
      </x:c>
      <x:c r="H4" s="14" t="str">
        <x:v>À corriger</x:v>
      </x:c>
      <x:c r="I4" s="14" t="str">
        <x:v>R7.1</x:v>
      </x:c>
      <x:c r="J4" s="14" t="str"/>
      <x:c r="K4" s="14" t="str"/>
      <x:c r="L4" s="14" t="str"/>
      <x:c r="M4" s="14" t="str">
        <x:v>T66, T67, T68, T94</x:v>
      </x:c>
      <x:c r="N4" s="14" t="str">
        <x:v>Les passifs sont créés et affichés dans l’onglet Passifs.</x:v>
      </x:c>
      <x:c r="O4" s="14" t="str"/>
    </x:row>
    <x:row r="5">
      <x:c r="A5" s="14" t="str">
        <x:v>R7-P0-04</x:v>
      </x:c>
      <x:c r="B5" s="14" t="str">
        <x:v>P0</x:v>
      </x:c>
      <x:c r="C5" s="14" t="str">
        <x:v>Patrimoine</x:v>
      </x:c>
      <x:c r="D5" s="14" t="str">
        <x:v>#26</x:v>
      </x:c>
      <x:c r="E5" s="14" t="str">
        <x:v>Incohérence entre indicateurs Patrimoine, Actifs et Passifs</x:v>
      </x:c>
      <x:c r="F5" s="14" t="str">
        <x:v>Anomalie</x:v>
      </x:c>
      <x:c r="G5" s="14" t="str">
        <x:v>KO majeur</x:v>
      </x:c>
      <x:c r="H5" s="14" t="str">
        <x:v>À corriger</x:v>
      </x:c>
      <x:c r="I5" s="14" t="str">
        <x:v>R7.1</x:v>
      </x:c>
      <x:c r="J5" s="14" t="str"/>
      <x:c r="K5" s="14" t="str"/>
      <x:c r="L5" s="14" t="str"/>
      <x:c r="M5" s="14" t="str">
        <x:v>T67, T68, T69, T94</x:v>
      </x:c>
      <x:c r="N5" s="14" t="str">
        <x:v>Patrimoine net = total actifs - total passifs, cohérent avec les listes.</x:v>
      </x:c>
      <x:c r="O5" s="14" t="str"/>
    </x:row>
    <x:row r="6">
      <x:c r="A6" s="14" t="str">
        <x:v>R7-P0-05</x:v>
      </x:c>
      <x:c r="B6" s="14" t="str">
        <x:v>P0</x:v>
      </x:c>
      <x:c r="C6" s="14" t="str">
        <x:v>Rapprochements</x:v>
      </x:c>
      <x:c r="D6" s="14" t="str">
        <x:v>#15</x:v>
      </x:c>
      <x:c r="E6" s="14" t="str">
        <x:v>Les transactions manuelles n’apparaissent pas dans les rapprochements</x:v>
      </x:c>
      <x:c r="F6" s="14" t="str">
        <x:v>Anomalie</x:v>
      </x:c>
      <x:c r="G6" s="14" t="str">
        <x:v>KO majeur</x:v>
      </x:c>
      <x:c r="H6" s="14" t="str">
        <x:v>À corriger</x:v>
      </x:c>
      <x:c r="I6" s="14" t="str">
        <x:v>R7.1</x:v>
      </x:c>
      <x:c r="J6" s="14" t="str"/>
      <x:c r="K6" s="14" t="str"/>
      <x:c r="L6" s="14" t="str"/>
      <x:c r="M6" s="14" t="str">
        <x:v>T45B, T46, T52, T53</x:v>
      </x:c>
      <x:c r="N6" s="14" t="str">
        <x:v>Les transactions manuelles éligibles apparaissent et sont rapprochables.</x:v>
      </x:c>
      <x:c r="O6" s="14" t="str"/>
    </x:row>
    <x:row r="7">
      <x:c r="A7" s="14" t="str">
        <x:v>R7-P0-06</x:v>
      </x:c>
      <x:c r="B7" s="14" t="str">
        <x:v>P0</x:v>
      </x:c>
      <x:c r="C7" s="14" t="str">
        <x:v>Rapprochements</x:v>
      </x:c>
      <x:c r="D7" s="14" t="str">
        <x:v>#17</x:v>
      </x:c>
      <x:c r="E7" s="14" t="str">
        <x:v>Incohérence entre Marquer les retards et le compteur En retard</x:v>
      </x:c>
      <x:c r="F7" s="14" t="str">
        <x:v>Anomalie</x:v>
      </x:c>
      <x:c r="G7" s="14" t="str">
        <x:v>KO majeur</x:v>
      </x:c>
      <x:c r="H7" s="14" t="str">
        <x:v>À corriger</x:v>
      </x:c>
      <x:c r="I7" s="14" t="str">
        <x:v>R7.1</x:v>
      </x:c>
      <x:c r="J7" s="14" t="str"/>
      <x:c r="K7" s="14" t="str"/>
      <x:c r="L7" s="14" t="str"/>
      <x:c r="M7" s="14" t="str">
        <x:v>T47, T48, T52, T53</x:v>
      </x:c>
      <x:c r="N7" s="14" t="str">
        <x:v>Les retards sont calculés, affichés et traités de façon cohérente.</x:v>
      </x:c>
      <x:c r="O7" s="14" t="str"/>
    </x:row>
    <x:row r="8">
      <x:c r="A8" s="14" t="str">
        <x:v>R7-P0-07</x:v>
      </x:c>
      <x:c r="B8" s="14" t="str">
        <x:v>P0</x:v>
      </x:c>
      <x:c r="C8" s="14" t="str">
        <x:v>Rapprochements</x:v>
      </x:c>
      <x:c r="D8" s="14" t="str">
        <x:v>#18</x:v>
      </x:c>
      <x:c r="E8" s="14" t="str">
        <x:v>Confirmer une occurrence ne produit aucun effet visible</x:v>
      </x:c>
      <x:c r="F8" s="14" t="str">
        <x:v>Anomalie</x:v>
      </x:c>
      <x:c r="G8" s="14" t="str">
        <x:v>KO majeur</x:v>
      </x:c>
      <x:c r="H8" s="14" t="str">
        <x:v>À corriger</x:v>
      </x:c>
      <x:c r="I8" s="14" t="str">
        <x:v>R7.1</x:v>
      </x:c>
      <x:c r="J8" s="14" t="str"/>
      <x:c r="K8" s="14" t="str"/>
      <x:c r="L8" s="14" t="str"/>
      <x:c r="M8" s="14" t="str">
        <x:v>T51, T52, T53</x:v>
      </x:c>
      <x:c r="N8" s="14" t="str">
        <x:v>La confirmation change le statut, les compteurs et persiste après redémarrage.</x:v>
      </x:c>
      <x:c r="O8" s="14" t="str"/>
    </x:row>
    <x:row r="9">
      <x:c r="A9" s="14" t="str">
        <x:v>R7-P0-08</x:v>
      </x:c>
      <x:c r="B9" s="14" t="str">
        <x:v>P0</x:v>
      </x:c>
      <x:c r="C9" s="14" t="str">
        <x:v>Prévisionnel</x:v>
      </x:c>
      <x:c r="D9" s="14" t="str">
        <x:v>#10</x:v>
      </x:c>
      <x:c r="E9" s="14" t="str">
        <x:v>Impossible de créer un événement ponctuel prévisionnel</x:v>
      </x:c>
      <x:c r="F9" s="14" t="str">
        <x:v>Anomalie</x:v>
      </x:c>
      <x:c r="G9" s="14" t="str">
        <x:v>KO majeur</x:v>
      </x:c>
      <x:c r="H9" s="14" t="str">
        <x:v>À corriger</x:v>
      </x:c>
      <x:c r="I9" s="14" t="str">
        <x:v>R7.1</x:v>
      </x:c>
      <x:c r="J9" s="14" t="str"/>
      <x:c r="K9" s="14" t="str"/>
      <x:c r="L9" s="14" t="str"/>
      <x:c r="M9" s="14" t="str">
        <x:v>T24, T19, T21, T25, T26, T94</x:v>
      </x:c>
      <x:c r="N9" s="14" t="str">
        <x:v>Un événement ponctuel unique impacte le prévisionnel au bon jour.</x:v>
      </x:c>
      <x:c r="O9" s="14" t="str"/>
    </x:row>
    <x:row r="10">
      <x:c r="A10" s="14" t="str">
        <x:v>R7-P0-09</x:v>
      </x:c>
      <x:c r="B10" s="14" t="str">
        <x:v>P0</x:v>
      </x:c>
      <x:c r="C10" s="14" t="str">
        <x:v>Scénarios</x:v>
      </x:c>
      <x:c r="D10" s="14" t="str">
        <x:v>#11</x:v>
      </x:c>
      <x:c r="E10" s="14" t="str">
        <x:v>Le changement de scénario ne modifie pas le prévisionnel</x:v>
      </x:c>
      <x:c r="F10" s="14" t="str">
        <x:v>Anomalie</x:v>
      </x:c>
      <x:c r="G10" s="14" t="str">
        <x:v>KO majeur</x:v>
      </x:c>
      <x:c r="H10" s="14" t="str">
        <x:v>À corriger</x:v>
      </x:c>
      <x:c r="I10" s="14" t="str">
        <x:v>R7.1</x:v>
      </x:c>
      <x:c r="J10" s="14" t="str"/>
      <x:c r="K10" s="14" t="str"/>
      <x:c r="L10" s="14" t="str"/>
      <x:c r="M10" s="14" t="str">
        <x:v>T27, T54-T61, T94</x:v>
      </x:c>
      <x:c r="N10" s="14" t="str">
        <x:v>Changer de scénario modifie réellement la courbe et les indicateurs.</x:v>
      </x:c>
      <x:c r="O10" s="14" t="str"/>
    </x:row>
    <x:row r="11">
      <x:c r="A11" s="14" t="str">
        <x:v>R7-P0-10</x:v>
      </x:c>
      <x:c r="B11" s="14" t="str">
        <x:v>P0</x:v>
      </x:c>
      <x:c r="C11" s="14" t="str">
        <x:v>Scénarios</x:v>
      </x:c>
      <x:c r="D11" s="14" t="str">
        <x:v>#21</x:v>
      </x:c>
      <x:c r="E11" s="14" t="str">
        <x:v>Calcul incohérent de l’impact des événements de scénario</x:v>
      </x:c>
      <x:c r="F11" s="14" t="str">
        <x:v>Anomalie</x:v>
      </x:c>
      <x:c r="G11" s="14" t="str">
        <x:v>KO ciblé</x:v>
      </x:c>
      <x:c r="H11" s="14" t="str">
        <x:v>À corriger</x:v>
      </x:c>
      <x:c r="I11" s="14" t="str">
        <x:v>R7.1</x:v>
      </x:c>
      <x:c r="J11" s="14" t="str"/>
      <x:c r="K11" s="14" t="str"/>
      <x:c r="L11" s="14" t="str"/>
      <x:c r="M11" s="14" t="str">
        <x:v>T58, T59, T60, T61, T27</x:v>
      </x:c>
      <x:c r="N11" s="14" t="str">
        <x:v>Les impacts trésorerie/patrimoine des événements sont cohérents, notamment achat d’actif.</x:v>
      </x:c>
      <x:c r="O11" s="14" t="str"/>
    </x:row>
    <x:row r="12">
      <x:c r="A12" s="14" t="str">
        <x:v>R7-P0-11</x:v>
      </x:c>
      <x:c r="B12" s="14" t="str">
        <x:v>P0</x:v>
      </x:c>
      <x:c r="C12" s="14" t="str">
        <x:v>Règles auto</x:v>
      </x:c>
      <x:c r="D12" s="14" t="str">
        <x:v>#12</x:v>
      </x:c>
      <x:c r="E12" s="14" t="str">
        <x:v>Impossible d’appliquer manuellement les règles de catégorisation automatique</x:v>
      </x:c>
      <x:c r="F12" s="14" t="str">
        <x:v>Anomalie</x:v>
      </x:c>
      <x:c r="G12" s="14" t="str">
        <x:v>KO majeur</x:v>
      </x:c>
      <x:c r="H12" s="14" t="str">
        <x:v>À corriger</x:v>
      </x:c>
      <x:c r="I12" s="14" t="str">
        <x:v>R7.1</x:v>
      </x:c>
      <x:c r="J12" s="14" t="str"/>
      <x:c r="K12" s="14" t="str"/>
      <x:c r="L12" s="14" t="str"/>
      <x:c r="M12" s="14" t="str">
        <x:v>T35, T33-T37, T13-T16</x:v>
      </x:c>
      <x:c r="N12" s="14" t="str">
        <x:v>Une règle peut être appliquée manuellement aux transactions concernées.</x:v>
      </x:c>
      <x:c r="O12" s="14" t="str"/>
    </x:row>
    <x:row r="13">
      <x:c r="A13" s="14" t="str">
        <x:v>R7-P0-12</x:v>
      </x:c>
      <x:c r="B13" s="14" t="str">
        <x:v>P0</x:v>
      </x:c>
      <x:c r="C13" s="14" t="str">
        <x:v>Règles auto</x:v>
      </x:c>
      <x:c r="D13" s="14" t="str">
        <x:v>#9</x:v>
      </x:c>
      <x:c r="E13" s="14" t="str">
        <x:v>Création d’une règle depuis une transaction impossible</x:v>
      </x:c>
      <x:c r="F13" s="14" t="str">
        <x:v>Anomalie</x:v>
      </x:c>
      <x:c r="G13" s="14" t="str">
        <x:v>KO majeur / rafraîchissement</x:v>
      </x:c>
      <x:c r="H13" s="14" t="str">
        <x:v>À corriger</x:v>
      </x:c>
      <x:c r="I13" s="14" t="str">
        <x:v>R7.1</x:v>
      </x:c>
      <x:c r="J13" s="14" t="str"/>
      <x:c r="K13" s="14" t="str"/>
      <x:c r="L13" s="14" t="str"/>
      <x:c r="M13" s="14" t="str">
        <x:v>Test clic droit, T33-T37</x:v>
      </x:c>
      <x:c r="N13" s="14" t="str">
        <x:v>Une règle créée depuis une transaction apparaît immédiatement et peut être appliquée.</x:v>
      </x:c>
      <x:c r="O13" s="14" t="str"/>
    </x:row>
    <x:row r="14">
      <x:c r="A14" s="14" t="str">
        <x:v>R7-P1-01</x:v>
      </x:c>
      <x:c r="B14" s="14" t="str">
        <x:v>P1</x:v>
      </x:c>
      <x:c r="C14" s="14" t="str">
        <x:v>Sécurité / sauvegarde</x:v>
      </x:c>
      <x:c r="D14" s="14" t="str">
        <x:v>#28</x:v>
      </x:c>
      <x:c r="E14" s="14" t="str">
        <x:v>Incohérence entre sauvegarde chiffrée et audit sécurité</x:v>
      </x:c>
      <x:c r="F14" s="14" t="str">
        <x:v>Anomalie</x:v>
      </x:c>
      <x:c r="G14" s="14" t="str">
        <x:v>OK affichage / KO cohérence</x:v>
      </x:c>
      <x:c r="H14" s="14" t="str">
        <x:v>À corriger</x:v>
      </x:c>
      <x:c r="I14" s="14" t="str">
        <x:v>R7.2</x:v>
      </x:c>
      <x:c r="J14" s="14" t="str"/>
      <x:c r="K14" s="14" t="str"/>
      <x:c r="L14" s="14" t="str"/>
      <x:c r="M14" s="14" t="str">
        <x:v>T75, T76, T77, T78, T82</x:v>
      </x:c>
      <x:c r="N14" s="14" t="str">
        <x:v>L’audit reflète correctement les sauvegardes chiffrées créées/restaurées.</x:v>
      </x:c>
      <x:c r="O14" s="14" t="str"/>
    </x:row>
    <x:row r="15">
      <x:c r="A15" s="14" t="str">
        <x:v>R7-P1-02</x:v>
      </x:c>
      <x:c r="B15" s="14" t="str">
        <x:v>P1</x:v>
      </x:c>
      <x:c r="C15" s="14" t="str">
        <x:v>Performance</x:v>
      </x:c>
      <x:c r="D15" s="14" t="str">
        <x:v>#19</x:v>
      </x:c>
      <x:c r="E15" s="14" t="str">
        <x:v>Latence importante lors des changements d’écrans et du chargement des graphiques</x:v>
      </x:c>
      <x:c r="F15" s="14" t="str">
        <x:v>Performance</x:v>
      </x:c>
      <x:c r="G15" s="14" t="str">
        <x:v>Réserve importante</x:v>
      </x:c>
      <x:c r="H15" s="14" t="str">
        <x:v>À corriger</x:v>
      </x:c>
      <x:c r="I15" s="14" t="str">
        <x:v>R7.2</x:v>
      </x:c>
      <x:c r="J15" s="14" t="str"/>
      <x:c r="K15" s="14" t="str"/>
      <x:c r="L15" s="14" t="str"/>
      <x:c r="M15" s="14" t="str">
        <x:v>Dashboard, navigation modules</x:v>
      </x:c>
      <x:c r="N15" s="14" t="str">
        <x:v>Les temps de chargement sont réduits ou accompagnés d’un indicateur visuel.</x:v>
      </x:c>
      <x:c r="O15" s="14" t="str"/>
    </x:row>
    <x:row r="16">
      <x:c r="A16" s="14" t="str">
        <x:v>R7-P1-03</x:v>
      </x:c>
      <x:c r="B16" s="14" t="str">
        <x:v>P1</x:v>
      </x:c>
      <x:c r="C16" s="14" t="str">
        <x:v>Rapprochements</x:v>
      </x:c>
      <x:c r="D16" s="14" t="str">
        <x:v>#13</x:v>
      </x:c>
      <x:c r="E16" s="14" t="str">
        <x:v>Colonnes tronquées dans l’écran Rapprochements</x:v>
      </x:c>
      <x:c r="F16" s="14" t="str">
        <x:v>Anomalie UX</x:v>
      </x:c>
      <x:c r="G16" s="14" t="str">
        <x:v>OK avec réserve UX</x:v>
      </x:c>
      <x:c r="H16" s="14" t="str">
        <x:v>À corriger</x:v>
      </x:c>
      <x:c r="I16" s="14" t="str">
        <x:v>R7.2</x:v>
      </x:c>
      <x:c r="J16" s="14" t="str"/>
      <x:c r="K16" s="14" t="str"/>
      <x:c r="L16" s="14" t="str"/>
      <x:c r="M16" s="14" t="str">
        <x:v>T43, T46, T47</x:v>
      </x:c>
      <x:c r="N16" s="14" t="str">
        <x:v>Les colonnes sont lisibles, alignées et exploitables.</x:v>
      </x:c>
      <x:c r="O16" s="14" t="str"/>
    </x:row>
    <x:row r="17">
      <x:c r="A17" s="14" t="str">
        <x:v>R7-P1-04</x:v>
      </x:c>
      <x:c r="B17" s="14" t="str">
        <x:v>P1</x:v>
      </x:c>
      <x:c r="C17" s="14" t="str">
        <x:v>Budget</x:v>
      </x:c>
      <x:c r="D17" s="14" t="str">
        <x:v>#32</x:v>
      </x:c>
      <x:c r="E17" s="14" t="str">
        <x:v>Le bouton Ajouter / modifier un budget ne permet pas clairement de modifier un budget existant</x:v>
      </x:c>
      <x:c r="F17" s="14" t="str">
        <x:v>Anomalie UX</x:v>
      </x:c>
      <x:c r="G17" s="14" t="str">
        <x:v>OK création / KO UX modification</x:v>
      </x:c>
      <x:c r="H17" s="14" t="str">
        <x:v>À corriger</x:v>
      </x:c>
      <x:c r="I17" s="14" t="str">
        <x:v>R7.2</x:v>
      </x:c>
      <x:c r="J17" s="14" t="str"/>
      <x:c r="K17" s="14" t="str"/>
      <x:c r="L17" s="14" t="str"/>
      <x:c r="M17" s="14" t="str">
        <x:v>T88, T89, T93</x:v>
      </x:c>
      <x:c r="N17" s="14" t="str">
        <x:v>Le libellé ou le parcours de modification est clarifié.</x:v>
      </x:c>
      <x:c r="O17" s="14" t="str"/>
    </x:row>
    <x:row r="18">
      <x:c r="A18" s="14" t="str">
        <x:v>R7-P1-05</x:v>
      </x:c>
      <x:c r="B18" s="14" t="str">
        <x:v>P1</x:v>
      </x:c>
      <x:c r="C18" s="14" t="str">
        <x:v>Paramètres</x:v>
      </x:c>
      <x:c r="D18" s="14" t="str">
        <x:v>#30</x:v>
      </x:c>
      <x:c r="E18" s="14" t="str">
        <x:v>Clarifier et enrichir l’onglet Maintenance</x:v>
      </x:c>
      <x:c r="F18" s="14" t="str">
        <x:v>Amélioration</x:v>
      </x:c>
      <x:c r="G18" s="14" t="str">
        <x:v>OK affichage / réserve fonctionnelle</x:v>
      </x:c>
      <x:c r="H18" s="14" t="str">
        <x:v>À corriger</x:v>
      </x:c>
      <x:c r="I18" s="14" t="str">
        <x:v>R7.2</x:v>
      </x:c>
      <x:c r="J18" s="14" t="str"/>
      <x:c r="K18" s="14" t="str"/>
      <x:c r="L18" s="14" t="str"/>
      <x:c r="M18" s="14" t="str">
        <x:v>T80</x:v>
      </x:c>
      <x:c r="N18" s="14" t="str">
        <x:v>L’onglet Maintenance est clarifié ou enrichi sans doublon inutile.</x:v>
      </x:c>
      <x:c r="O18" s="14" t="str"/>
    </x:row>
    <x:row r="19">
      <x:c r="A19" s="14" t="str">
        <x:v>R7-P1-06</x:v>
      </x:c>
      <x:c r="B19" s="14" t="str">
        <x:v>P1</x:v>
      </x:c>
      <x:c r="C19" s="14" t="str">
        <x:v>Paramètres</x:v>
      </x:c>
      <x:c r="D19" s="14" t="str">
        <x:v>#29</x:v>
      </x:c>
      <x:c r="E19" s="14" t="str">
        <x:v>Supprimer ou masquer l’onglet Charts réels des paramètres</x:v>
      </x:c>
      <x:c r="F19" s="14" t="str">
        <x:v>Amélioration UX</x:v>
      </x:c>
      <x:c r="G19" s="14" t="str">
        <x:v>OK avec réserve UX</x:v>
      </x:c>
      <x:c r="H19" s="14" t="str">
        <x:v>À corriger</x:v>
      </x:c>
      <x:c r="I19" s="14" t="str">
        <x:v>R7.2</x:v>
      </x:c>
      <x:c r="J19" s="14" t="str"/>
      <x:c r="K19" s="14" t="str"/>
      <x:c r="L19" s="14" t="str"/>
      <x:c r="M19" s="14" t="str">
        <x:v>T73</x:v>
      </x:c>
      <x:c r="N19" s="14" t="str">
        <x:v>L’onglet technique inutile est masqué, supprimé ou renommé clairement.</x:v>
      </x:c>
      <x:c r="O19" s="14" t="str"/>
    </x:row>
    <x:row r="20">
      <x:c r="A20" s="14" t="str">
        <x:v>R7-P2-01</x:v>
      </x:c>
      <x:c r="B20" s="14" t="str">
        <x:v>P2</x:v>
      </x:c>
      <x:c r="C20" s="14" t="str">
        <x:v>Sécurité locale</x:v>
      </x:c>
      <x:c r="D20" s="14" t="str"/>
      <x:c r="E20" s="14" t="str">
        <x:v>Permettre de paramétrer le délai de verrouillage automatique</x:v>
      </x:c>
      <x:c r="F20" s="14" t="str">
        <x:v>Amélioration UX</x:v>
      </x:c>
      <x:c r="G20" s="14" t="str">
        <x:v>OK avec réserve UX</x:v>
      </x:c>
      <x:c r="H20" s="14" t="str">
        <x:v>À corriger</x:v>
      </x:c>
      <x:c r="I20" s="14" t="str">
        <x:v>R7.3</x:v>
      </x:c>
      <x:c r="J20" s="14" t="str"/>
      <x:c r="K20" s="14" t="str"/>
      <x:c r="L20" s="14" t="str"/>
      <x:c r="M20" s="14" t="str">
        <x:v>T86</x:v>
      </x:c>
      <x:c r="N20" s="14" t="str">
        <x:v>Le délai de verrouillage est configurable dans les paramètres.</x:v>
      </x:c>
      <x:c r="O20" s="14" t="str"/>
    </x:row>
    <x:row r="21">
      <x:c r="A21" s="14" t="str">
        <x:v>R7-P2-02</x:v>
      </x:c>
      <x:c r="B21" s="14" t="str">
        <x:v>P2</x:v>
      </x:c>
      <x:c r="C21" s="14" t="str">
        <x:v>Rapprochements</x:v>
      </x:c>
      <x:c r="D21" s="14" t="str"/>
      <x:c r="E21" s="14" t="str">
        <x:v>Filtrer les rapprochements par statut et masquer les lignes traitées</x:v>
      </x:c>
      <x:c r="F21" s="14" t="str">
        <x:v>Amélioration UX</x:v>
      </x:c>
      <x:c r="G21" s="14" t="str">
        <x:v>OK avec réserve UX</x:v>
      </x:c>
      <x:c r="H21" s="14" t="str">
        <x:v>À corriger</x:v>
      </x:c>
      <x:c r="I21" s="14" t="str">
        <x:v>R7.3</x:v>
      </x:c>
      <x:c r="J21" s="14" t="str"/>
      <x:c r="K21" s="14" t="str"/>
      <x:c r="L21" s="14" t="str"/>
      <x:c r="M21" s="14" t="str">
        <x:v>T46, T47</x:v>
      </x:c>
      <x:c r="N21" s="14" t="str">
        <x:v>Les lignes peuvent être filtrées par statut de façon cohérente.</x:v>
      </x:c>
      <x:c r="O21" s="14" t="str"/>
    </x:row>
    <x:row r="22">
      <x:c r="A22" s="14" t="str">
        <x:v>R7-P2-03</x:v>
      </x:c>
      <x:c r="B22" s="14" t="str">
        <x:v>P2</x:v>
      </x:c>
      <x:c r="C22" s="14" t="str">
        <x:v>Patrimoine</x:v>
      </x:c>
      <x:c r="D22" s="14" t="str"/>
      <x:c r="E22" s="14" t="str">
        <x:v>Enrichir la synthèse intelligente du patrimoine</x:v>
      </x:c>
      <x:c r="F22" s="14" t="str">
        <x:v>Amélioration UX</x:v>
      </x:c>
      <x:c r="G22" s="14" t="str">
        <x:v>OK affichage / réserve contenu</x:v>
      </x:c>
      <x:c r="H22" s="14" t="str">
        <x:v>À corriger</x:v>
      </x:c>
      <x:c r="I22" s="14" t="str">
        <x:v>R7.3</x:v>
      </x:c>
      <x:c r="J22" s="14" t="str"/>
      <x:c r="K22" s="14" t="str"/>
      <x:c r="L22" s="14" t="str"/>
      <x:c r="M22" s="14" t="str">
        <x:v>T70</x:v>
      </x:c>
      <x:c r="N22" s="14" t="str">
        <x:v>La synthèse apporte des informations utiles et actionnables.</x:v>
      </x:c>
      <x:c r="O22" s="14" t="str"/>
    </x:row>
    <x:row r="23">
      <x:c r="A23" s="14" t="str">
        <x:v>R7-P2-04</x:v>
      </x:c>
      <x:c r="B23" s="14" t="str">
        <x:v>P2</x:v>
      </x:c>
      <x:c r="C23" s="14" t="str">
        <x:v>Scénarios</x:v>
      </x:c>
      <x:c r="D23" s="14" t="str"/>
      <x:c r="E23" s="14" t="str">
        <x:v>Harmoniser l’affichage des listes de l’écran Scénarios</x:v>
      </x:c>
      <x:c r="F23" s="14" t="str">
        <x:v>Amélioration UX</x:v>
      </x:c>
      <x:c r="G23" s="14" t="str">
        <x:v>OK avec réserve UX</x:v>
      </x:c>
      <x:c r="H23" s="14" t="str">
        <x:v>À corriger</x:v>
      </x:c>
      <x:c r="I23" s="14" t="str">
        <x:v>R7.3</x:v>
      </x:c>
      <x:c r="J23" s="14" t="str"/>
      <x:c r="K23" s="14" t="str"/>
      <x:c r="L23" s="14" t="str"/>
      <x:c r="M23" s="14" t="str">
        <x:v>T57, T59, T60</x:v>
      </x:c>
      <x:c r="N23" s="14" t="str">
        <x:v>Les listes de scénarios sont lisibles et harmonisées avec le reste de l’app.</x:v>
      </x:c>
      <x:c r="O23" s="14" t="str"/>
    </x:row>
  </x:sheetData>
  <x:conditionalFormatting sqref="B2:B200">
    <x:cfRule type="expression" dxfId="0" priority="1">
      <x:formula>B2="P0"</x:formula>
    </x:cfRule>
    <x:cfRule type="expression" dxfId="1" priority="2">
      <x:formula>B2="P1"</x:formula>
    </x:cfRule>
    <x:cfRule type="expression" dxfId="2" priority="3">
      <x:formula>B2="P2"</x:formula>
    </x:cfRule>
  </x:conditionalFormatting>
  <x:conditionalFormatting sqref="H2:H200">
    <x:cfRule type="expression" dxfId="3" priority="4">
      <x:formula>H2="À corriger"</x:formula>
    </x:cfRule>
    <x:cfRule type="expression" dxfId="4" priority="5">
      <x:formula>H2="Corrigée"</x:formula>
    </x:cfRule>
    <x:cfRule type="expression" dxfId="5" priority="6">
      <x:formula>H2="À retester"</x:formula>
    </x:cfRule>
    <x:cfRule type="expression" dxfId="6" priority="7">
      <x:formula>H2="En cours"</x:formula>
    </x:cfRule>
  </x:conditionalFormatting>
  <x:dataValidations count="3">
    <x:dataValidation type="list" sqref="B2:B200">
      <x:formula1>"P0,P1,P2"</x:formula1>
    </x:dataValidation>
    <x:dataValidation type="list" sqref="H2:H200">
      <x:formula1>"À corriger,En cours,Corrigée,À retester,Requalifiée,Clôturée,Reportée"</x:formula1>
    </x:dataValidation>
    <x:dataValidation type="list" sqref="I2:I200">
      <x:formula1>"R7.1,R7.2,R7.3"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13b30930cf46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0" hidden="0" customWidth="1"/>
    <x:col min="5" max="5" width="34" hidden="0" customWidth="1"/>
    <x:col min="6" max="6" width="28" hidden="0" customWidth="1"/>
    <x:col min="7" max="7" width="50" hidden="0" customWidth="1"/>
    <x:col min="8" max="8" width="50" hidden="0" customWidth="1"/>
    <x:col min="9" max="9" width="18" hidden="0" customWidth="1"/>
    <x:col min="10" max="10" width="18" hidden="0" customWidth="1"/>
    <x:col min="11" max="11" width="20" hidden="0" customWidth="1"/>
    <x:col min="12" max="12" width="14" hidden="0" customWidth="1"/>
    <x:col min="13" max="13" width="14" hidden="0" customWidth="1"/>
    <x:col min="14" max="14" width="28" hidden="0" customWidth="1"/>
  </x:cols>
  <x:sheetData>
    <x:row r="1" ht="26" customHeight="1">
      <x:c r="A1" s="6" t="str">
        <x:v>ID test</x:v>
      </x:c>
      <x:c r="B1" s="6" t="str">
        <x:v>Priorité</x:v>
      </x:c>
      <x:c r="C1" s="6" t="str">
        <x:v>Module</x:v>
      </x:c>
      <x:c r="D1" s="6" t="str">
        <x:v>Issue liée</x:v>
      </x:c>
      <x:c r="E1" s="6" t="str">
        <x:v>Objectif du test</x:v>
      </x:c>
      <x:c r="F1" s="6" t="str">
        <x:v>Préconditions</x:v>
      </x:c>
      <x:c r="G1" s="6" t="str">
        <x:v>Étapes de test</x:v>
      </x:c>
      <x:c r="H1" s="6" t="str">
        <x:v>Résultat attendu</x:v>
      </x:c>
      <x:c r="I1" s="6" t="str">
        <x:v>Statut R6.1</x:v>
      </x:c>
      <x:c r="J1" s="6" t="str">
        <x:v>Résultat R7.1</x:v>
      </x:c>
      <x:c r="K1" s="6" t="str">
        <x:v>Statut après correction</x:v>
      </x:c>
      <x:c r="L1" s="6" t="str">
        <x:v>Testeur</x:v>
      </x:c>
      <x:c r="M1" s="6" t="str">
        <x:v>Date test</x:v>
      </x:c>
      <x:c r="N1" s="6" t="str">
        <x:v>Commentaire</x:v>
      </x:c>
    </x:row>
    <x:row r="2">
      <x:c r="A2" s="14" t="str">
        <x:v>R7.1-TX-01</x:v>
      </x:c>
      <x:c r="B2" s="14" t="str">
        <x:v>P0</x:v>
      </x:c>
      <x:c r="C2" s="14" t="str">
        <x:v>Transactions</x:v>
      </x:c>
      <x:c r="D2" s="14" t="str">
        <x:v>#2</x:v>
      </x:c>
      <x:c r="E2" s="14" t="str">
        <x:v>Modifier une transaction complète</x:v>
      </x:c>
      <x:c r="F2" s="14" t="str">
        <x:v>Transaction existante créée</x:v>
      </x:c>
      <x:c r="G2" s="14" t="str">
        <x:v>Modifier date, libellé, montant, compte, type, catégorie, statut puis enregistrer.</x:v>
      </x:c>
      <x:c r="H2" s="14" t="str">
        <x:v>Tous les champs sont modifiés et visibles immédiatement.</x:v>
      </x:c>
      <x:c r="I2" s="14" t="str">
        <x:v>KO</x:v>
      </x:c>
      <x:c r="J2" s="14" t="str">
        <x:v>À rejouer</x:v>
      </x:c>
      <x:c r="K2" s="14" t="str">
        <x:v>À rejouer</x:v>
      </x:c>
      <x:c r="L2" s="14" t="str"/>
      <x:c r="M2" s="14" t="str"/>
      <x:c r="N2" s="14" t="str"/>
    </x:row>
    <x:row r="3">
      <x:c r="A3" s="14" t="str">
        <x:v>R7.1-TX-02</x:v>
      </x:c>
      <x:c r="B3" s="14" t="str">
        <x:v>P0</x:v>
      </x:c>
      <x:c r="C3" s="14" t="str">
        <x:v>Transactions</x:v>
      </x:c>
      <x:c r="D3" s="14" t="str">
        <x:v>#2</x:v>
      </x:c>
      <x:c r="E3" s="14" t="str">
        <x:v>Vérifier impact compte après modification</x:v>
      </x:c>
      <x:c r="F3" s="14" t="str">
        <x:v>Transaction modifiée</x:v>
      </x:c>
      <x:c r="G3" s="14" t="str">
        <x:v>Changer le montant puis contrôler solde compte et dashboard.</x:v>
      </x:c>
      <x:c r="H3" s="14" t="str">
        <x:v>Le solde et les KPIs se recalculent correctement.</x:v>
      </x:c>
      <x:c r="I3" s="14" t="str">
        <x:v>KO lié</x:v>
      </x:c>
      <x:c r="J3" s="14" t="str">
        <x:v>À rejouer</x:v>
      </x:c>
      <x:c r="K3" s="14" t="str">
        <x:v>À rejouer</x:v>
      </x:c>
      <x:c r="L3" s="14" t="str"/>
      <x:c r="M3" s="14" t="str"/>
      <x:c r="N3" s="14" t="str"/>
    </x:row>
    <x:row r="4">
      <x:c r="A4" s="14" t="str">
        <x:v>R7.1-TX-03</x:v>
      </x:c>
      <x:c r="B4" s="14" t="str">
        <x:v>P0</x:v>
      </x:c>
      <x:c r="C4" s="14" t="str">
        <x:v>Budget</x:v>
      </x:c>
      <x:c r="D4" s="14" t="str">
        <x:v>#2</x:v>
      </x:c>
      <x:c r="E4" s="14" t="str">
        <x:v>Vérifier impact Budget réalisé après modification</x:v>
      </x:c>
      <x:c r="F4" s="14" t="str">
        <x:v>Transaction catégorisée dans le mois courant</x:v>
      </x:c>
      <x:c r="G4" s="14" t="str">
        <x:v>Modifier montant/catégorie d’une transaction puis ouvrir Budget.</x:v>
      </x:c>
      <x:c r="H4" s="14" t="str">
        <x:v>Le réalisé de la catégorie et les totaux Budget sont recalculés.</x:v>
      </x:c>
      <x:c r="I4" s="14" t="str">
        <x:v>À sécuriser</x:v>
      </x:c>
      <x:c r="J4" s="14" t="str">
        <x:v>À rejouer</x:v>
      </x:c>
      <x:c r="K4" s="14" t="str">
        <x:v>À rejouer</x:v>
      </x:c>
      <x:c r="L4" s="14" t="str"/>
      <x:c r="M4" s="14" t="str"/>
      <x:c r="N4" s="14" t="str"/>
    </x:row>
    <x:row r="5">
      <x:c r="A5" s="14" t="str">
        <x:v>R7.1-PAT-01</x:v>
      </x:c>
      <x:c r="B5" s="14" t="str">
        <x:v>P0</x:v>
      </x:c>
      <x:c r="C5" s="14" t="str">
        <x:v>Patrimoine</x:v>
      </x:c>
      <x:c r="D5" s="14" t="str">
        <x:v>#23</x:v>
      </x:c>
      <x:c r="E5" s="14" t="str">
        <x:v>Modifier un actif patrimonial</x:v>
      </x:c>
      <x:c r="F5" s="14" t="str">
        <x:v>Actif existant</x:v>
      </x:c>
      <x:c r="G5" s="14" t="str">
        <x:v>Sélectionner un actif, modifier valeur, libellé ou catégorie, enregistrer.</x:v>
      </x:c>
      <x:c r="H5" s="14" t="str">
        <x:v>L’actif est modifié et les indicateurs se recalculent.</x:v>
      </x:c>
      <x:c r="I5" s="14" t="str">
        <x:v>KO</x:v>
      </x:c>
      <x:c r="J5" s="14" t="str">
        <x:v>À rejouer</x:v>
      </x:c>
      <x:c r="K5" s="14" t="str">
        <x:v>À rejouer</x:v>
      </x:c>
      <x:c r="L5" s="14" t="str"/>
      <x:c r="M5" s="14" t="str"/>
      <x:c r="N5" s="14" t="str"/>
    </x:row>
    <x:row r="6">
      <x:c r="A6" s="14" t="str">
        <x:v>R7.1-PAT-02</x:v>
      </x:c>
      <x:c r="B6" s="14" t="str">
        <x:v>P0</x:v>
      </x:c>
      <x:c r="C6" s="14" t="str">
        <x:v>Patrimoine</x:v>
      </x:c>
      <x:c r="D6" s="14" t="str">
        <x:v>#23</x:v>
      </x:c>
      <x:c r="E6" s="14" t="str">
        <x:v>Supprimer un actif patrimonial</x:v>
      </x:c>
      <x:c r="F6" s="14" t="str">
        <x:v>Actif de test existant</x:v>
      </x:c>
      <x:c r="G6" s="14" t="str">
        <x:v>Sélectionner un actif de test puis supprimer.</x:v>
      </x:c>
      <x:c r="H6" s="14" t="str">
        <x:v>L’actif disparaît et les indicateurs se recalculent.</x:v>
      </x:c>
      <x:c r="I6" s="14" t="str">
        <x:v>KO</x:v>
      </x:c>
      <x:c r="J6" s="14" t="str">
        <x:v>À rejouer</x:v>
      </x:c>
      <x:c r="K6" s="14" t="str">
        <x:v>À rejouer</x:v>
      </x:c>
      <x:c r="L6" s="14" t="str"/>
      <x:c r="M6" s="14" t="str"/>
      <x:c r="N6" s="14" t="str"/>
    </x:row>
    <x:row r="7">
      <x:c r="A7" s="14" t="str">
        <x:v>R7.1-PAT-03</x:v>
      </x:c>
      <x:c r="B7" s="14" t="str">
        <x:v>P0</x:v>
      </x:c>
      <x:c r="C7" s="14" t="str">
        <x:v>Patrimoine</x:v>
      </x:c>
      <x:c r="D7" s="14" t="str">
        <x:v>#24</x:v>
      </x:c>
      <x:c r="E7" s="14" t="str">
        <x:v>Créer un passif patrimonial</x:v>
      </x:c>
      <x:c r="F7" s="14" t="str">
        <x:v>Module Patrimoine accessible</x:v>
      </x:c>
      <x:c r="G7" s="14" t="str">
        <x:v>Créer un crédit/dette avec montant, type et statut.</x:v>
      </x:c>
      <x:c r="H7" s="14" t="str">
        <x:v>Le passif apparaît dans Passifs et non dans Actifs.</x:v>
      </x:c>
      <x:c r="I7" s="14" t="str">
        <x:v>KO</x:v>
      </x:c>
      <x:c r="J7" s="14" t="str">
        <x:v>À rejouer</x:v>
      </x:c>
      <x:c r="K7" s="14" t="str">
        <x:v>À rejouer</x:v>
      </x:c>
      <x:c r="L7" s="14" t="str"/>
      <x:c r="M7" s="14" t="str"/>
      <x:c r="N7" s="14" t="str"/>
    </x:row>
    <x:row r="8">
      <x:c r="A8" s="14" t="str">
        <x:v>R7.1-PAT-04</x:v>
      </x:c>
      <x:c r="B8" s="14" t="str">
        <x:v>P0</x:v>
      </x:c>
      <x:c r="C8" s="14" t="str">
        <x:v>Patrimoine</x:v>
      </x:c>
      <x:c r="D8" s="14" t="str">
        <x:v>#26</x:v>
      </x:c>
      <x:c r="E8" s="14" t="str">
        <x:v>Vérifier cohérence indicateurs</x:v>
      </x:c>
      <x:c r="F8" s="14" t="str">
        <x:v>Actifs et passifs créés</x:v>
      </x:c>
      <x:c r="G8" s="14" t="str">
        <x:v>Comparer total Actifs, total Passifs, Patrimoine net et listes détaillées.</x:v>
      </x:c>
      <x:c r="H8" s="14" t="str">
        <x:v>Patrimoine net = Actifs - Passifs.</x:v>
      </x:c>
      <x:c r="I8" s="14" t="str">
        <x:v>KO</x:v>
      </x:c>
      <x:c r="J8" s="14" t="str">
        <x:v>À rejouer</x:v>
      </x:c>
      <x:c r="K8" s="14" t="str">
        <x:v>À rejouer</x:v>
      </x:c>
      <x:c r="L8" s="14" t="str"/>
      <x:c r="M8" s="14" t="str"/>
      <x:c r="N8" s="14" t="str"/>
    </x:row>
    <x:row r="9">
      <x:c r="A9" s="14" t="str">
        <x:v>R7.1-PAT-05</x:v>
      </x:c>
      <x:c r="B9" s="14" t="str">
        <x:v>P0</x:v>
      </x:c>
      <x:c r="C9" s="14" t="str">
        <x:v>Patrimoine</x:v>
      </x:c>
      <x:c r="D9" s="14" t="str">
        <x:v>#26</x:v>
      </x:c>
      <x:c r="E9" s="14" t="str">
        <x:v>Vérifier onglet Vue globale</x:v>
      </x:c>
      <x:c r="F9" s="14" t="str">
        <x:v>Données patrimoine présentes</x:v>
      </x:c>
      <x:c r="G9" s="14" t="str">
        <x:v>Contrôler cohérence entre cartes, graphiques, onglets Actifs/Passifs.</x:v>
      </x:c>
      <x:c r="H9" s="14" t="str">
        <x:v>Aucune incohérence de nature ou montant.</x:v>
      </x:c>
      <x:c r="I9" s="14" t="str">
        <x:v>KO</x:v>
      </x:c>
      <x:c r="J9" s="14" t="str">
        <x:v>À rejouer</x:v>
      </x:c>
      <x:c r="K9" s="14" t="str">
        <x:v>À rejouer</x:v>
      </x:c>
      <x:c r="L9" s="14" t="str"/>
      <x:c r="M9" s="14" t="str"/>
      <x:c r="N9" s="14" t="str"/>
    </x:row>
    <x:row r="10">
      <x:c r="A10" s="14" t="str">
        <x:v>R7.1-PAT-06</x:v>
      </x:c>
      <x:c r="B10" s="14" t="str">
        <x:v>P0</x:v>
      </x:c>
      <x:c r="C10" s="14" t="str">
        <x:v>Patrimoine</x:v>
      </x:c>
      <x:c r="D10" s="14" t="str">
        <x:v>#</x:v>
      </x:c>
      <x:c r="E10" s="14" t="str">
        <x:v>Vérifier évolution patrimoniale datée</x:v>
      </x:c>
      <x:c r="F10" s="14" t="str">
        <x:v>Historique valorisation disponible</x:v>
      </x:c>
      <x:c r="G10" s="14" t="str">
        <x:v>Ouvrir Évolution et contrôler dates/valeurs.</x:v>
      </x:c>
      <x:c r="H10" s="14" t="str">
        <x:v>L’évolution est vérifiable avec un historique daté.</x:v>
      </x:c>
      <x:c r="I10" s="14" t="str">
        <x:v>KO non vérifiable</x:v>
      </x:c>
      <x:c r="J10" s="14" t="str">
        <x:v>À rejouer</x:v>
      </x:c>
      <x:c r="K10" s="14" t="str">
        <x:v>À rejouer</x:v>
      </x:c>
      <x:c r="L10" s="14" t="str"/>
      <x:c r="M10" s="14" t="str"/>
      <x:c r="N10" s="14" t="str"/>
    </x:row>
    <x:row r="11">
      <x:c r="A11" s="14" t="str">
        <x:v>R7.1-PAT-07</x:v>
      </x:c>
      <x:c r="B11" s="14" t="str">
        <x:v>P0</x:v>
      </x:c>
      <x:c r="C11" s="14" t="str">
        <x:v>Patrimoine</x:v>
      </x:c>
      <x:c r="D11" s="14" t="str">
        <x:v>#</x:v>
      </x:c>
      <x:c r="E11" s="14" t="str">
        <x:v>Tester bouton Voir historique</x:v>
      </x:c>
      <x:c r="F11" s="14" t="str">
        <x:v>Synthèse intelligente ouverte</x:v>
      </x:c>
      <x:c r="G11" s="14" t="str">
        <x:v>Cliquer sur Voir historique.</x:v>
      </x:c>
      <x:c r="H11" s="14" t="str">
        <x:v>Un historique exploitable s’ouvre.</x:v>
      </x:c>
      <x:c r="I11" s="14" t="str">
        <x:v>KO</x:v>
      </x:c>
      <x:c r="J11" s="14" t="str">
        <x:v>À rejouer</x:v>
      </x:c>
      <x:c r="K11" s="14" t="str">
        <x:v>À rejouer</x:v>
      </x:c>
      <x:c r="L11" s="14" t="str"/>
      <x:c r="M11" s="14" t="str"/>
      <x:c r="N11" s="14" t="str"/>
    </x:row>
    <x:row r="12">
      <x:c r="A12" s="14" t="str">
        <x:v>R7.1-RAP-01</x:v>
      </x:c>
      <x:c r="B12" s="14" t="str">
        <x:v>P0</x:v>
      </x:c>
      <x:c r="C12" s="14" t="str">
        <x:v>Rapprochements</x:v>
      </x:c>
      <x:c r="D12" s="14" t="str">
        <x:v>#15</x:v>
      </x:c>
      <x:c r="E12" s="14" t="str">
        <x:v>Transactions manuelles visibles</x:v>
      </x:c>
      <x:c r="F12" s="14" t="str">
        <x:v>Créer une transaction manuelle dans la période</x:v>
      </x:c>
      <x:c r="G12" s="14" t="str">
        <x:v>Ouvrir Rapprochements, sélectionner compte/période, générer.</x:v>
      </x:c>
      <x:c r="H12" s="14" t="str">
        <x:v>La transaction manuelle apparaît dans le volet adéquat.</x:v>
      </x:c>
      <x:c r="I12" s="14" t="str">
        <x:v>KO</x:v>
      </x:c>
      <x:c r="J12" s="14" t="str">
        <x:v>À rejouer</x:v>
      </x:c>
      <x:c r="K12" s="14" t="str">
        <x:v>À rejouer</x:v>
      </x:c>
      <x:c r="L12" s="14" t="str"/>
      <x:c r="M12" s="14" t="str"/>
      <x:c r="N12" s="14" t="str"/>
    </x:row>
    <x:row r="13">
      <x:c r="A13" s="14" t="str">
        <x:v>R7.1-RAP-02</x:v>
      </x:c>
      <x:c r="B13" s="14" t="str">
        <x:v>P0</x:v>
      </x:c>
      <x:c r="C13" s="14" t="str">
        <x:v>Rapprochements</x:v>
      </x:c>
      <x:c r="D13" s="14" t="str">
        <x:v>#15</x:v>
      </x:c>
      <x:c r="E13" s="14" t="str">
        <x:v>Rapprochement manuel transaction/occurrence</x:v>
      </x:c>
      <x:c r="F13" s="14" t="str">
        <x:v>Occurrence et transaction compatibles</x:v>
      </x:c>
      <x:c r="G13" s="14" t="str">
        <x:v>Cocher l’occurrence et la transaction puis rapprocher.</x:v>
      </x:c>
      <x:c r="H13" s="14" t="str">
        <x:v>Le statut devient Rapprochée manuellement et persiste.</x:v>
      </x:c>
      <x:c r="I13" s="14" t="str">
        <x:v>OK partiel</x:v>
      </x:c>
      <x:c r="J13" s="14" t="str">
        <x:v>À rejouer</x:v>
      </x:c>
      <x:c r="K13" s="14" t="str">
        <x:v>À rejouer</x:v>
      </x:c>
      <x:c r="L13" s="14" t="str"/>
      <x:c r="M13" s="14" t="str"/>
      <x:c r="N13" s="14" t="str"/>
    </x:row>
    <x:row r="14">
      <x:c r="A14" s="14" t="str">
        <x:v>R7.1-RAP-03</x:v>
      </x:c>
      <x:c r="B14" s="14" t="str">
        <x:v>P0</x:v>
      </x:c>
      <x:c r="C14" s="14" t="str">
        <x:v>Rapprochements</x:v>
      </x:c>
      <x:c r="D14" s="14" t="str">
        <x:v>#17</x:v>
      </x:c>
      <x:c r="E14" s="14" t="str">
        <x:v>Marquer les retards</x:v>
      </x:c>
      <x:c r="F14" s="14" t="str">
        <x:v>Occurrences passées non traitées</x:v>
      </x:c>
      <x:c r="G14" s="14" t="str">
        <x:v>Cliquer Marquer les retards puis filtrer En retard.</x:v>
      </x:c>
      <x:c r="H14" s="14" t="str">
        <x:v>Les lignes et compteurs En retard sont cohérents.</x:v>
      </x:c>
      <x:c r="I14" s="14" t="str">
        <x:v>KO</x:v>
      </x:c>
      <x:c r="J14" s="14" t="str">
        <x:v>À rejouer</x:v>
      </x:c>
      <x:c r="K14" s="14" t="str">
        <x:v>À rejouer</x:v>
      </x:c>
      <x:c r="L14" s="14" t="str"/>
      <x:c r="M14" s="14" t="str"/>
      <x:c r="N14" s="14" t="str"/>
    </x:row>
    <x:row r="15">
      <x:c r="A15" s="14" t="str">
        <x:v>R7.1-RAP-04</x:v>
      </x:c>
      <x:c r="B15" s="14" t="str">
        <x:v>P0</x:v>
      </x:c>
      <x:c r="C15" s="14" t="str">
        <x:v>Rapprochements</x:v>
      </x:c>
      <x:c r="D15" s="14" t="str">
        <x:v>#18</x:v>
      </x:c>
      <x:c r="E15" s="14" t="str">
        <x:v>Confirmer occurrence</x:v>
      </x:c>
      <x:c r="F15" s="14" t="str">
        <x:v>Occurrence prévue sélectionnée</x:v>
      </x:c>
      <x:c r="G15" s="14" t="str">
        <x:v>Cliquer Confirmer occurrence.</x:v>
      </x:c>
      <x:c r="H15" s="14" t="str">
        <x:v>Le statut change en Confirmée, compteur mis à jour, persistance OK.</x:v>
      </x:c>
      <x:c r="I15" s="14" t="str">
        <x:v>KO</x:v>
      </x:c>
      <x:c r="J15" s="14" t="str">
        <x:v>À rejouer</x:v>
      </x:c>
      <x:c r="K15" s="14" t="str">
        <x:v>À rejouer</x:v>
      </x:c>
      <x:c r="L15" s="14" t="str"/>
      <x:c r="M15" s="14" t="str"/>
      <x:c r="N15" s="14" t="str"/>
    </x:row>
    <x:row r="16">
      <x:c r="A16" s="14" t="str">
        <x:v>R7.1-RAP-05</x:v>
      </x:c>
      <x:c r="B16" s="14" t="str">
        <x:v>P0</x:v>
      </x:c>
      <x:c r="C16" s="14" t="str">
        <x:v>Rapprochements</x:v>
      </x:c>
      <x:c r="D16" s="14" t="str">
        <x:v>#18</x:v>
      </x:c>
      <x:c r="E16" s="14" t="str">
        <x:v>Persistance statuts rapprochements</x:v>
      </x:c>
      <x:c r="F16" s="14" t="str">
        <x:v>Statuts changés</x:v>
      </x:c>
      <x:c r="G16" s="14" t="str">
        <x:v>Changer d’écran, revenir, fermer/réouvrir l’app.</x:v>
      </x:c>
      <x:c r="H16" s="14" t="str">
        <x:v>Les statuts restent identiques.</x:v>
      </x:c>
      <x:c r="I16" s="14" t="str">
        <x:v>OK à confirmer</x:v>
      </x:c>
      <x:c r="J16" s="14" t="str">
        <x:v>À rejouer</x:v>
      </x:c>
      <x:c r="K16" s="14" t="str">
        <x:v>À rejouer</x:v>
      </x:c>
      <x:c r="L16" s="14" t="str"/>
      <x:c r="M16" s="14" t="str"/>
      <x:c r="N16" s="14" t="str"/>
    </x:row>
    <x:row r="17">
      <x:c r="A17" s="14" t="str">
        <x:v>R7.1-PREV-01</x:v>
      </x:c>
      <x:c r="B17" s="14" t="str">
        <x:v>P0</x:v>
      </x:c>
      <x:c r="C17" s="14" t="str">
        <x:v>Prévisionnel</x:v>
      </x:c>
      <x:c r="D17" s="14" t="str">
        <x:v>#10</x:v>
      </x:c>
      <x:c r="E17" s="14" t="str">
        <x:v>Créer un événement ponctuel</x:v>
      </x:c>
      <x:c r="F17" s="14" t="str">
        <x:v>Compte existant</x:v>
      </x:c>
      <x:c r="G17" s="14" t="str">
        <x:v>Créer un événement Ponctuel/Une seule fois daté avec montant.</x:v>
      </x:c>
      <x:c r="H17" s="14" t="str">
        <x:v>L’événement est créé sans récurrence.</x:v>
      </x:c>
      <x:c r="I17" s="14" t="str">
        <x:v>KO</x:v>
      </x:c>
      <x:c r="J17" s="14" t="str">
        <x:v>À rejouer</x:v>
      </x:c>
      <x:c r="K17" s="14" t="str">
        <x:v>À rejouer</x:v>
      </x:c>
      <x:c r="L17" s="14" t="str"/>
      <x:c r="M17" s="14" t="str"/>
      <x:c r="N17" s="14" t="str"/>
    </x:row>
    <x:row r="18">
      <x:c r="A18" s="14" t="str">
        <x:v>R7.1-PREV-02</x:v>
      </x:c>
      <x:c r="B18" s="14" t="str">
        <x:v>P0</x:v>
      </x:c>
      <x:c r="C18" s="14" t="str">
        <x:v>Prévisionnel</x:v>
      </x:c>
      <x:c r="D18" s="14" t="str">
        <x:v>#10</x:v>
      </x:c>
      <x:c r="E18" s="14" t="str">
        <x:v>Impact événement ponctuel dans courbe</x:v>
      </x:c>
      <x:c r="F18" s="14" t="str">
        <x:v>Événement ponctuel créé</x:v>
      </x:c>
      <x:c r="G18" s="14" t="str">
        <x:v>Ouvrir courbe prévisionnelle autour de la date.</x:v>
      </x:c>
      <x:c r="H18" s="14" t="str">
        <x:v>Le solde est impacté une seule fois au bon jour.</x:v>
      </x:c>
      <x:c r="I18" s="14" t="str">
        <x:v>Non testable</x:v>
      </x:c>
      <x:c r="J18" s="14" t="str">
        <x:v>À rejouer</x:v>
      </x:c>
      <x:c r="K18" s="14" t="str">
        <x:v>À rejouer</x:v>
      </x:c>
      <x:c r="L18" s="14" t="str"/>
      <x:c r="M18" s="14" t="str"/>
      <x:c r="N18" s="14" t="str"/>
    </x:row>
    <x:row r="19">
      <x:c r="A19" s="14" t="str">
        <x:v>R7.1-PREV-03</x:v>
      </x:c>
      <x:c r="B19" s="14" t="str">
        <x:v>P0</x:v>
      </x:c>
      <x:c r="C19" s="14" t="str">
        <x:v>Prévisionnel</x:v>
      </x:c>
      <x:c r="D19" s="14" t="str">
        <x:v>#10</x:v>
      </x:c>
      <x:c r="E19" s="14" t="str">
        <x:v>Modifier et supprimer événement ponctuel</x:v>
      </x:c>
      <x:c r="F19" s="14" t="str">
        <x:v>Événement ponctuel existant</x:v>
      </x:c>
      <x:c r="G19" s="14" t="str">
        <x:v>Modifier puis supprimer l’événement.</x:v>
      </x:c>
      <x:c r="H19" s="14" t="str">
        <x:v>Impact mis à jour puis supprimé de la courbe.</x:v>
      </x:c>
      <x:c r="I19" s="14" t="str">
        <x:v>Non testable</x:v>
      </x:c>
      <x:c r="J19" s="14" t="str">
        <x:v>À rejouer</x:v>
      </x:c>
      <x:c r="K19" s="14" t="str">
        <x:v>À rejouer</x:v>
      </x:c>
      <x:c r="L19" s="14" t="str"/>
      <x:c r="M19" s="14" t="str"/>
      <x:c r="N19" s="14" t="str"/>
    </x:row>
    <x:row r="20">
      <x:c r="A20" s="14" t="str">
        <x:v>R7.1-SCE-01</x:v>
      </x:c>
      <x:c r="B20" s="14" t="str">
        <x:v>P0</x:v>
      </x:c>
      <x:c r="C20" s="14" t="str">
        <x:v>Scénarios</x:v>
      </x:c>
      <x:c r="D20" s="14" t="str">
        <x:v>#11</x:v>
      </x:c>
      <x:c r="E20" s="14" t="str">
        <x:v>Changer de scénario dans Prévisionnel</x:v>
      </x:c>
      <x:c r="F20" s="14" t="str">
        <x:v>Au moins deux scénarios distincts</x:v>
      </x:c>
      <x:c r="G20" s="14" t="str">
        <x:v>Sélectionner différents scénarios dans Prévisionnel.</x:v>
      </x:c>
      <x:c r="H20" s="14" t="str">
        <x:v>La courbe et les KPIs changent réellement.</x:v>
      </x:c>
      <x:c r="I20" s="14" t="str">
        <x:v>KO</x:v>
      </x:c>
      <x:c r="J20" s="14" t="str">
        <x:v>À rejouer</x:v>
      </x:c>
      <x:c r="K20" s="14" t="str">
        <x:v>À rejouer</x:v>
      </x:c>
      <x:c r="L20" s="14" t="str"/>
      <x:c r="M20" s="14" t="str"/>
      <x:c r="N20" s="14" t="str"/>
    </x:row>
    <x:row r="21">
      <x:c r="A21" s="14" t="str">
        <x:v>R7.1-SCE-02</x:v>
      </x:c>
      <x:c r="B21" s="14" t="str">
        <x:v>P0</x:v>
      </x:c>
      <x:c r="C21" s="14" t="str">
        <x:v>Scénarios</x:v>
      </x:c>
      <x:c r="D21" s="14" t="str">
        <x:v>#21</x:v>
      </x:c>
      <x:c r="E21" s="14" t="str">
        <x:v>Impact sortie ponctuelle</x:v>
      </x:c>
      <x:c r="F21" s="14" t="str">
        <x:v>Scénario avec sortie ponctuelle</x:v>
      </x:c>
      <x:c r="G21" s="14" t="str">
        <x:v>Créer/sélectionner scénario avec dépense exceptionnelle.</x:v>
      </x:c>
      <x:c r="H21" s="14" t="str">
        <x:v>Trésorerie baisse, patrimoine cohérent.</x:v>
      </x:c>
      <x:c r="I21" s="14" t="str">
        <x:v>OK ciblé</x:v>
      </x:c>
      <x:c r="J21" s="14" t="str">
        <x:v>À rejouer</x:v>
      </x:c>
      <x:c r="K21" s="14" t="str">
        <x:v>À rejouer</x:v>
      </x:c>
      <x:c r="L21" s="14" t="str"/>
      <x:c r="M21" s="14" t="str"/>
      <x:c r="N21" s="14" t="str"/>
    </x:row>
    <x:row r="22">
      <x:c r="A22" s="14" t="str">
        <x:v>R7.1-SCE-03</x:v>
      </x:c>
      <x:c r="B22" s="14" t="str">
        <x:v>P0</x:v>
      </x:c>
      <x:c r="C22" s="14" t="str">
        <x:v>Scénarios</x:v>
      </x:c>
      <x:c r="D22" s="14" t="str">
        <x:v>#21</x:v>
      </x:c>
      <x:c r="E22" s="14" t="str">
        <x:v>Impact achat d’actif</x:v>
      </x:c>
      <x:c r="F22" s="14" t="str">
        <x:v>Scénario avec achat d’actif</x:v>
      </x:c>
      <x:c r="G22" s="14" t="str">
        <x:v>Créer achat d’actif de 30 000 € et analyser impacts.</x:v>
      </x:c>
      <x:c r="H22" s="14" t="str">
        <x:v>Trésorerie -30 000 €, actifs +30 000 €, patrimoine net cohérent.</x:v>
      </x:c>
      <x:c r="I22" s="14" t="str">
        <x:v>KO</x:v>
      </x:c>
      <x:c r="J22" s="14" t="str">
        <x:v>À rejouer</x:v>
      </x:c>
      <x:c r="K22" s="14" t="str">
        <x:v>À rejouer</x:v>
      </x:c>
      <x:c r="L22" s="14" t="str"/>
      <x:c r="M22" s="14" t="str"/>
      <x:c r="N22" s="14" t="str"/>
    </x:row>
    <x:row r="23">
      <x:c r="A23" s="14" t="str">
        <x:v>R7.1-SCE-04</x:v>
      </x:c>
      <x:c r="B23" s="14" t="str">
        <x:v>P0</x:v>
      </x:c>
      <x:c r="C23" s="14" t="str">
        <x:v>Scénarios</x:v>
      </x:c>
      <x:c r="D23" s="14" t="str">
        <x:v>#21</x:v>
      </x:c>
      <x:c r="E23" s="14" t="str">
        <x:v>Champ Durée avec fréquence Une fois</x:v>
      </x:c>
      <x:c r="F23" s="14" t="str">
        <x:v>Événement Une fois</x:v>
      </x:c>
      <x:c r="G23" s="14" t="str">
        <x:v>Vérifier le champ Durée.</x:v>
      </x:c>
      <x:c r="H23" s="14" t="str">
        <x:v>Durée masquée, désactivée ou indiquée Non applicable.</x:v>
      </x:c>
      <x:c r="I23" s="14" t="str">
        <x:v>Réserve UX</x:v>
      </x:c>
      <x:c r="J23" s="14" t="str">
        <x:v>À rejouer</x:v>
      </x:c>
      <x:c r="K23" s="14" t="str">
        <x:v>À rejouer</x:v>
      </x:c>
      <x:c r="L23" s="14" t="str"/>
      <x:c r="M23" s="14" t="str"/>
      <x:c r="N23" s="14" t="str"/>
    </x:row>
    <x:row r="24">
      <x:c r="A24" s="14" t="str">
        <x:v>R7.1-REG-01</x:v>
      </x:c>
      <x:c r="B24" s="14" t="str">
        <x:v>P0</x:v>
      </x:c>
      <x:c r="C24" s="14" t="str">
        <x:v>Règles auto</x:v>
      </x:c>
      <x:c r="D24" s="14" t="str">
        <x:v>#12</x:v>
      </x:c>
      <x:c r="E24" s="14" t="str">
        <x:v>Appliquer règles auto manuellement</x:v>
      </x:c>
      <x:c r="F24" s="14" t="str">
        <x:v>Règle active et transaction non catégorisée</x:v>
      </x:c>
      <x:c r="G24" s="14" t="str">
        <x:v>Cliquer Appliquer règles automatiques.</x:v>
      </x:c>
      <x:c r="H24" s="14" t="str">
        <x:v>Les transactions concernées sont catégorisées et un résumé apparaît.</x:v>
      </x:c>
      <x:c r="I24" s="14" t="str">
        <x:v>KO</x:v>
      </x:c>
      <x:c r="J24" s="14" t="str">
        <x:v>À rejouer</x:v>
      </x:c>
      <x:c r="K24" s="14" t="str">
        <x:v>À rejouer</x:v>
      </x:c>
      <x:c r="L24" s="14" t="str"/>
      <x:c r="M24" s="14" t="str"/>
      <x:c r="N24" s="14" t="str"/>
    </x:row>
    <x:row r="25">
      <x:c r="A25" s="14" t="str">
        <x:v>R7.1-REG-02</x:v>
      </x:c>
      <x:c r="B25" s="14" t="str">
        <x:v>P0</x:v>
      </x:c>
      <x:c r="C25" s="14" t="str">
        <x:v>Règles auto</x:v>
      </x:c>
      <x:c r="D25" s="14" t="str">
        <x:v>#12</x:v>
      </x:c>
      <x:c r="E25" s="14" t="str">
        <x:v>Appliquer règles sur sélection</x:v>
      </x:c>
      <x:c r="F25" s="14" t="str">
        <x:v>Plusieurs transactions sélectionnées</x:v>
      </x:c>
      <x:c r="G25" s="14" t="str">
        <x:v>Sélectionner des transactions puis appliquer les règles.</x:v>
      </x:c>
      <x:c r="H25" s="14" t="str">
        <x:v>Seules les transactions sélectionnées sont traitées.</x:v>
      </x:c>
      <x:c r="I25" s="14" t="str">
        <x:v>Non disponible</x:v>
      </x:c>
      <x:c r="J25" s="14" t="str">
        <x:v>À rejouer</x:v>
      </x:c>
      <x:c r="K25" s="14" t="str">
        <x:v>À rejouer</x:v>
      </x:c>
      <x:c r="L25" s="14" t="str"/>
      <x:c r="M25" s="14" t="str"/>
      <x:c r="N25" s="14" t="str"/>
    </x:row>
    <x:row r="26">
      <x:c r="A26" s="14" t="str">
        <x:v>R7.1-REG-03</x:v>
      </x:c>
      <x:c r="B26" s="14" t="str">
        <x:v>P0</x:v>
      </x:c>
      <x:c r="C26" s="14" t="str">
        <x:v>Règles auto</x:v>
      </x:c>
      <x:c r="D26" s="14" t="str">
        <x:v>#9</x:v>
      </x:c>
      <x:c r="E26" s="14" t="str">
        <x:v>Créer une règle depuis transaction</x:v>
      </x:c>
      <x:c r="F26" s="14" t="str">
        <x:v>Transaction existante</x:v>
      </x:c>
      <x:c r="G26" s="14" t="str">
        <x:v>Clic droit &gt; Créer une règle à partir de cette transaction.</x:v>
      </x:c>
      <x:c r="H26" s="14" t="str">
        <x:v>La règle est créée et visible immédiatement.</x:v>
      </x:c>
      <x:c r="I26" s="14" t="str">
        <x:v>KO rafraîchissement</x:v>
      </x:c>
      <x:c r="J26" s="14" t="str">
        <x:v>À rejouer</x:v>
      </x:c>
      <x:c r="K26" s="14" t="str">
        <x:v>À rejouer</x:v>
      </x:c>
      <x:c r="L26" s="14" t="str"/>
      <x:c r="M26" s="14" t="str"/>
      <x:c r="N26" s="14" t="str"/>
    </x:row>
    <x:row r="27">
      <x:c r="A27" s="14" t="str">
        <x:v>R7.1-REG-04</x:v>
      </x:c>
      <x:c r="B27" s="14" t="str">
        <x:v>P0</x:v>
      </x:c>
      <x:c r="C27" s="14" t="str">
        <x:v>Règles auto</x:v>
      </x:c>
      <x:c r="D27" s="14" t="str">
        <x:v>#9</x:v>
      </x:c>
      <x:c r="E27" s="14" t="str">
        <x:v>Rafraîchissement liste règles</x:v>
      </x:c>
      <x:c r="F27" s="14" t="str">
        <x:v>Règle créée depuis transaction</x:v>
      </x:c>
      <x:c r="G27" s="14" t="str">
        <x:v>Contrôler la liste des règles sans action supplémentaire.</x:v>
      </x:c>
      <x:c r="H27" s="14" t="str">
        <x:v>La règle apparaît sans devoir créer une autre règle.</x:v>
      </x:c>
      <x:c r="I27" s="14" t="str">
        <x:v>KO</x:v>
      </x:c>
      <x:c r="J27" s="14" t="str">
        <x:v>À rejouer</x:v>
      </x:c>
      <x:c r="K27" s="14" t="str">
        <x:v>À rejouer</x:v>
      </x:c>
      <x:c r="L27" s="14" t="str"/>
      <x:c r="M27" s="14" t="str"/>
      <x:c r="N27" s="14" t="str"/>
    </x:row>
    <x:row r="28">
      <x:c r="A28" s="14" t="str">
        <x:v>R7.1-NR-01</x:v>
      </x:c>
      <x:c r="B28" s="14" t="str">
        <x:v>P0</x:v>
      </x:c>
      <x:c r="C28" s="14" t="str">
        <x:v>Non-régression</x:v>
      </x:c>
      <x:c r="D28" s="14" t="str"/>
      <x:c r="E28" s="14" t="str">
        <x:v>Dashboard après corrections</x:v>
      </x:c>
      <x:c r="F28" s="14" t="str">
        <x:v>Corrections P0 appliquées</x:v>
      </x:c>
      <x:c r="G28" s="14" t="str">
        <x:v>Ouvrir Dashboard et contrôler KPI/grafiques.</x:v>
      </x:c>
      <x:c r="H28" s="14" t="str">
        <x:v>Dashboard stable, cohérent, sans crash.</x:v>
      </x:c>
      <x:c r="I28" s="14" t="str">
        <x:v>OK à préserver</x:v>
      </x:c>
      <x:c r="J28" s="14" t="str">
        <x:v>À rejouer</x:v>
      </x:c>
      <x:c r="K28" s="14" t="str">
        <x:v>À rejouer</x:v>
      </x:c>
      <x:c r="L28" s="14" t="str"/>
      <x:c r="M28" s="14" t="str"/>
      <x:c r="N28" s="14" t="str"/>
    </x:row>
    <x:row r="29">
      <x:c r="A29" s="14" t="str">
        <x:v>R7.1-NR-02</x:v>
      </x:c>
      <x:c r="B29" s="14" t="str">
        <x:v>P0</x:v>
      </x:c>
      <x:c r="C29" s="14" t="str">
        <x:v>Non-régression</x:v>
      </x:c>
      <x:c r="D29" s="14" t="str"/>
      <x:c r="E29" s="14" t="str">
        <x:v>Budget après corrections Transactions</x:v>
      </x:c>
      <x:c r="F29" s="14" t="str">
        <x:v>Transactions modifiées/créées</x:v>
      </x:c>
      <x:c r="G29" s="14" t="str">
        <x:v>Ouvrir Budget et vérifier réalisé par catégories.</x:v>
      </x:c>
      <x:c r="H29" s="14" t="str">
        <x:v>Budget toujours cohérent.</x:v>
      </x:c>
      <x:c r="I29" s="14" t="str">
        <x:v>OK à préserver</x:v>
      </x:c>
      <x:c r="J29" s="14" t="str">
        <x:v>À rejouer</x:v>
      </x:c>
      <x:c r="K29" s="14" t="str">
        <x:v>À rejouer</x:v>
      </x:c>
      <x:c r="L29" s="14" t="str"/>
      <x:c r="M29" s="14" t="str"/>
      <x:c r="N29" s="14" t="str"/>
    </x:row>
    <x:row r="30">
      <x:c r="A30" s="14" t="str">
        <x:v>R7.1-NR-03</x:v>
      </x:c>
      <x:c r="B30" s="14" t="str">
        <x:v>P0</x:v>
      </x:c>
      <x:c r="C30" s="14" t="str">
        <x:v>Non-régression</x:v>
      </x:c>
      <x:c r="D30" s="14" t="str"/>
      <x:c r="E30" s="14" t="str">
        <x:v>Sauvegarde/restauration</x:v>
      </x:c>
      <x:c r="F30" s="14" t="str">
        <x:v>Base avec corrections</x:v>
      </x:c>
      <x:c r="G30" s="14" t="str">
        <x:v>Créer sauvegarde chiffrée puis restaurer.</x:v>
      </x:c>
      <x:c r="H30" s="14" t="str">
        <x:v>Sauvegarde/restauration OK, données conservées.</x:v>
      </x:c>
      <x:c r="I30" s="14" t="str">
        <x:v>OK à préserver</x:v>
      </x:c>
      <x:c r="J30" s="14" t="str">
        <x:v>À rejouer</x:v>
      </x:c>
      <x:c r="K30" s="14" t="str">
        <x:v>À rejouer</x:v>
      </x:c>
      <x:c r="L30" s="14" t="str"/>
      <x:c r="M30" s="14" t="str"/>
      <x:c r="N30" s="14" t="str"/>
    </x:row>
    <x:row r="31">
      <x:c r="A31" s="14" t="str">
        <x:v>R7.1-NR-04</x:v>
      </x:c>
      <x:c r="B31" s="14" t="str">
        <x:v>P0</x:v>
      </x:c>
      <x:c r="C31" s="14" t="str">
        <x:v>Non-régression</x:v>
      </x:c>
      <x:c r="D31" s="14" t="str"/>
      <x:c r="E31" s="14" t="str">
        <x:v>Sécurité locale</x:v>
      </x:c>
      <x:c r="F31" s="14" t="str">
        <x:v>Application corrigée</x:v>
      </x:c>
      <x:c r="G31" s="14" t="str">
        <x:v>Verrouiller, mauvais mot de passe, bon mot de passe.</x:v>
      </x:c>
      <x:c r="H31" s="14" t="str">
        <x:v>Sécurité locale toujours OK.</x:v>
      </x:c>
      <x:c r="I31" s="14" t="str">
        <x:v>OK à préserver</x:v>
      </x:c>
      <x:c r="J31" s="14" t="str">
        <x:v>À rejouer</x:v>
      </x:c>
      <x:c r="K31" s="14" t="str">
        <x:v>À rejouer</x:v>
      </x:c>
      <x:c r="L31" s="14" t="str"/>
      <x:c r="M31" s="14" t="str"/>
      <x:c r="N31" s="14" t="str"/>
    </x:row>
    <x:row r="32">
      <x:c r="A32" s="14" t="str">
        <x:v>R7.1-NR-05</x:v>
      </x:c>
      <x:c r="B32" s="14" t="str">
        <x:v>P0</x:v>
      </x:c>
      <x:c r="C32" s="14" t="str">
        <x:v>Non-régression</x:v>
      </x:c>
      <x:c r="D32" s="14" t="str"/>
      <x:c r="E32" s="14" t="str">
        <x:v>Redémarrage complet</x:v>
      </x:c>
      <x:c r="F32" s="14" t="str">
        <x:v>Tests ciblés terminés</x:v>
      </x:c>
      <x:c r="G32" s="14" t="str">
        <x:v>Fermer/réouvrir l’application.</x:v>
      </x:c>
      <x:c r="H32" s="14" t="str">
        <x:v>Démarrage, déverrouillage, menus et dashboard OK.</x:v>
      </x:c>
      <x:c r="I32" s="14" t="str">
        <x:v>OK à préserver</x:v>
      </x:c>
      <x:c r="J32" s="14" t="str">
        <x:v>À rejouer</x:v>
      </x:c>
      <x:c r="K32" s="14" t="str">
        <x:v>À rejouer</x:v>
      </x:c>
      <x:c r="L32" s="14" t="str"/>
      <x:c r="M32" s="14" t="str"/>
      <x:c r="N32" s="14" t="str"/>
    </x:row>
  </x:sheetData>
  <x:conditionalFormatting sqref="B2:B200">
    <x:cfRule type="expression" dxfId="7" priority="1">
      <x:formula>B2="P0"</x:formula>
    </x:cfRule>
  </x:conditionalFormatting>
  <x:conditionalFormatting sqref="J2:K200">
    <x:cfRule type="expression" dxfId="8" priority="2">
      <x:formula>J2="OK"</x:formula>
    </x:cfRule>
    <x:cfRule type="expression" dxfId="9" priority="3">
      <x:formula>J2="KO"</x:formula>
    </x:cfRule>
    <x:cfRule type="expression" dxfId="10" priority="4">
      <x:formula>J2="À rejouer"</x:formula>
    </x:cfRule>
  </x:conditionalFormatting>
  <x:conditionalFormatting sqref="K2:K200">
    <x:cfRule type="expression" dxfId="11" priority="5">
      <x:formula>K2="OK"</x:formula>
    </x:cfRule>
    <x:cfRule type="expression" dxfId="12" priority="6">
      <x:formula>K2="KO"</x:formula>
    </x:cfRule>
    <x:cfRule type="expression" dxfId="13" priority="7">
      <x:formula>K2="À rejouer"</x:formula>
    </x:cfRule>
  </x:conditionalFormatting>
  <x:dataValidations count="3">
    <x:dataValidation type="list" sqref="B2:B200">
      <x:formula1>"P0,P1,P2"</x:formula1>
    </x:dataValidation>
    <x:dataValidation type="list" sqref="J2:J200">
      <x:formula1>"À rejouer,OK,OK avec réserve,KO,Non applicable"</x:formula1>
    </x:dataValidation>
    <x:dataValidation type="list" sqref="K2:K200">
      <x:formula1>"À rejouer,OK,OK avec réserve,KO,Bloqué,Non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4c5b4bdd8844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8" hidden="0" customWidth="1"/>
    <x:col min="5" max="5" width="50" hidden="0" customWidth="1"/>
    <x:col min="6" max="6" width="46" hidden="0" customWidth="1"/>
    <x:col min="7" max="7" width="24" hidden="0" customWidth="1"/>
    <x:col min="8" max="8" width="16" hidden="0" customWidth="1"/>
  </x:cols>
  <x:sheetData>
    <x:row r="1" ht="26" customHeight="1">
      <x:c r="A1" s="6" t="str">
        <x:v>Ordre</x:v>
      </x:c>
      <x:c r="B1" s="6" t="str">
        <x:v>Lot</x:v>
      </x:c>
      <x:c r="C1" s="6" t="str">
        <x:v>Module</x:v>
      </x:c>
      <x:c r="D1" s="6" t="str">
        <x:v>Issues</x:v>
      </x:c>
      <x:c r="E1" s="6" t="str">
        <x:v>Travail de correction</x:v>
      </x:c>
      <x:c r="F1" s="6" t="str">
        <x:v>Critères d'acceptation</x:v>
      </x:c>
      <x:c r="G1" s="6" t="str">
        <x:v>Tests principaux</x:v>
      </x:c>
      <x:c r="H1" s="6" t="str">
        <x:v>Statut</x:v>
      </x:c>
    </x:row>
    <x:row r="2">
      <x:c r="A2" s="14" t="n">
        <x:v>1</x:v>
      </x:c>
      <x:c r="B2" s="14" t="str">
        <x:v>P0-1</x:v>
      </x:c>
      <x:c r="C2" s="14" t="str">
        <x:v>Transactions</x:v>
      </x:c>
      <x:c r="D2" s="14" t="str">
        <x:v>#2</x:v>
      </x:c>
      <x:c r="E2" s="14" t="str">
        <x:v>Rendre la modification d’une transaction complète et recalculer les impacts.</x:v>
      </x:c>
      <x:c r="F2" s="14" t="str">
        <x:v>Tous les champs modifiables, soldes/KPIs/Budget cohérents.</x:v>
      </x:c>
      <x:c r="G2" s="14" t="str">
        <x:v>R7.1-TX-01 à TX-03</x:v>
      </x:c>
      <x:c r="H2" s="14" t="str">
        <x:v>À faire</x:v>
      </x:c>
    </x:row>
    <x:row r="3">
      <x:c r="A3" s="14" t="n">
        <x:v>2</x:v>
      </x:c>
      <x:c r="B3" s="14" t="str">
        <x:v>P0-2</x:v>
      </x:c>
      <x:c r="C3" s="14" t="str">
        <x:v>Patrimoine</x:v>
      </x:c>
      <x:c r="D3" s="14" t="str">
        <x:v>#23, #24, #26</x:v>
      </x:c>
      <x:c r="E3" s="14" t="str">
        <x:v>Corriger actions actifs/passifs, classification, calculs, historique et Voir historique.</x:v>
      </x:c>
      <x:c r="F3" s="14" t="str">
        <x:v>Actifs/passifs séparés, patrimoine net cohérent, historique exploitable.</x:v>
      </x:c>
      <x:c r="G3" s="14" t="str">
        <x:v>R7.1-PAT-01 à PAT-07</x:v>
      </x:c>
      <x:c r="H3" s="14" t="str">
        <x:v>À faire</x:v>
      </x:c>
    </x:row>
    <x:row r="4">
      <x:c r="A4" s="14" t="n">
        <x:v>3</x:v>
      </x:c>
      <x:c r="B4" s="14" t="str">
        <x:v>P0-3</x:v>
      </x:c>
      <x:c r="C4" s="14" t="str">
        <x:v>Rapprochements</x:v>
      </x:c>
      <x:c r="D4" s="14" t="str">
        <x:v>#15, #17, #18</x:v>
      </x:c>
      <x:c r="E4" s="14" t="str">
        <x:v>Inclure transactions manuelles, corriger statuts, compteurs, retards et confirmation.</x:v>
      </x:c>
      <x:c r="F4" s="14" t="str">
        <x:v>Rapprochements exploitables et persistants.</x:v>
      </x:c>
      <x:c r="G4" s="14" t="str">
        <x:v>R7.1-RAP-01 à RAP-05</x:v>
      </x:c>
      <x:c r="H4" s="14" t="str">
        <x:v>À faire</x:v>
      </x:c>
    </x:row>
    <x:row r="5">
      <x:c r="A5" s="14" t="n">
        <x:v>4</x:v>
      </x:c>
      <x:c r="B5" s="14" t="str">
        <x:v>P0-4</x:v>
      </x:c>
      <x:c r="C5" s="14" t="str">
        <x:v>Prévisionnel</x:v>
      </x:c>
      <x:c r="D5" s="14" t="str">
        <x:v>#10</x:v>
      </x:c>
      <x:c r="E5" s="14" t="str">
        <x:v>Ajouter événement Ponctuel / Une seule fois.</x:v>
      </x:c>
      <x:c r="F5" s="14" t="str">
        <x:v>Impact unique au bon jour, modifiable/supprimable/rapprochable.</x:v>
      </x:c>
      <x:c r="G5" s="14" t="str">
        <x:v>R7.1-PREV-01 à PREV-03</x:v>
      </x:c>
      <x:c r="H5" s="14" t="str">
        <x:v>À faire</x:v>
      </x:c>
    </x:row>
    <x:row r="6">
      <x:c r="A6" s="14" t="n">
        <x:v>5</x:v>
      </x:c>
      <x:c r="B6" s="14" t="str">
        <x:v>P0-5</x:v>
      </x:c>
      <x:c r="C6" s="14" t="str">
        <x:v>Scénarios</x:v>
      </x:c>
      <x:c r="D6" s="14" t="str">
        <x:v>#11, #21</x:v>
      </x:c>
      <x:c r="E6" s="14" t="str">
        <x:v>Connecter scénario au moteur prévisionnel et corriger impacts trésorerie/patrimoine.</x:v>
      </x:c>
      <x:c r="F6" s="14" t="str">
        <x:v>Changement de scénario visible, impacts cohérents.</x:v>
      </x:c>
      <x:c r="G6" s="14" t="str">
        <x:v>R7.1-SCE-01 à SCE-04</x:v>
      </x:c>
      <x:c r="H6" s="14" t="str">
        <x:v>À faire</x:v>
      </x:c>
    </x:row>
    <x:row r="7">
      <x:c r="A7" s="14" t="n">
        <x:v>6</x:v>
      </x:c>
      <x:c r="B7" s="14" t="str">
        <x:v>P0-6</x:v>
      </x:c>
      <x:c r="C7" s="14" t="str">
        <x:v>Règles auto</x:v>
      </x:c>
      <x:c r="D7" s="14" t="str">
        <x:v>#12, #9</x:v>
      </x:c>
      <x:c r="E7" s="14" t="str">
        <x:v>Rendre application manuelle disponible et corriger création depuis transaction.</x:v>
      </x:c>
      <x:c r="F7" s="14" t="str">
        <x:v>Règles visibles, applicables, résumé d’application.</x:v>
      </x:c>
      <x:c r="G7" s="14" t="str">
        <x:v>R7.1-REG-01 à REG-04</x:v>
      </x:c>
      <x:c r="H7" s="14" t="str">
        <x:v>À faire</x:v>
      </x:c>
    </x:row>
    <x:row r="8">
      <x:c r="A8" s="14" t="n">
        <x:v>7</x:v>
      </x:c>
      <x:c r="B8" s="14" t="str">
        <x:v>NR</x:v>
      </x:c>
      <x:c r="C8" s="14" t="str">
        <x:v>Non-régression</x:v>
      </x:c>
      <x:c r="D8" s="14" t="str"/>
      <x:c r="E8" s="14" t="str">
        <x:v>Rejouer les contrôles transverses obligatoires.</x:v>
      </x:c>
      <x:c r="F8" s="14" t="str">
        <x:v>Aucune régression sur modules déjà validés.</x:v>
      </x:c>
      <x:c r="G8" s="14" t="str">
        <x:v>R7.1-NR-01 à NR-05</x:v>
      </x:c>
      <x:c r="H8" s="14" t="str">
        <x:v>À faire</x:v>
      </x:c>
    </x:row>
  </x:sheetData>
  <x:dataValidations count="1">
    <x:dataValidation type="list" sqref="H2:H50">
      <x:formula1>"À faire,En cours,Terminé,Bloqué,Reporté"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cb6e62aa884f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6" hidden="0" customWidth="1"/>
    <x:col min="5" max="5" width="14" hidden="0" customWidth="1"/>
  </x:cols>
  <x:sheetData>
    <x:row r="1" ht="26" customHeight="1">
      <x:c r="A1" s="6" t="str">
        <x:v>Priorités</x:v>
      </x:c>
      <x:c r="B1" s="6" t="str">
        <x:v>Statuts correction</x:v>
      </x:c>
      <x:c r="C1" s="6" t="str">
        <x:v>Statuts recette/test</x:v>
      </x:c>
      <x:c r="D1" s="6" t="str">
        <x:v>Modules</x:v>
      </x:c>
      <x:c r="E1" s="6" t="str">
        <x:v>Sprints</x:v>
      </x:c>
    </x:row>
    <x:row r="2">
      <x:c r="A2" s="12" t="str">
        <x:v>P0</x:v>
      </x:c>
      <x:c r="B2" s="12" t="str">
        <x:v>À corriger</x:v>
      </x:c>
      <x:c r="C2" s="12" t="str">
        <x:v>À rejouer</x:v>
      </x:c>
      <x:c r="D2" s="12" t="str">
        <x:v>Transactions</x:v>
      </x:c>
      <x:c r="E2" s="12" t="str">
        <x:v>R7.1</x:v>
      </x:c>
    </x:row>
    <x:row r="3">
      <x:c r="A3" s="12" t="str">
        <x:v>P1</x:v>
      </x:c>
      <x:c r="B3" s="12" t="str">
        <x:v>En cours</x:v>
      </x:c>
      <x:c r="C3" s="12" t="str">
        <x:v>OK</x:v>
      </x:c>
      <x:c r="D3" s="12" t="str">
        <x:v>Patrimoine</x:v>
      </x:c>
      <x:c r="E3" s="12" t="str">
        <x:v>R7.2</x:v>
      </x:c>
    </x:row>
    <x:row r="4">
      <x:c r="A4" s="12" t="str">
        <x:v>P2</x:v>
      </x:c>
      <x:c r="B4" s="12" t="str">
        <x:v>Corrigée</x:v>
      </x:c>
      <x:c r="C4" s="12" t="str">
        <x:v>OK avec réserve</x:v>
      </x:c>
      <x:c r="D4" s="12" t="str">
        <x:v>Rapprochements</x:v>
      </x:c>
      <x:c r="E4" s="12" t="str">
        <x:v>R7.3</x:v>
      </x:c>
    </x:row>
    <x:row r="5">
      <x:c r="A5" s="12" t="str"/>
      <x:c r="B5" s="12" t="str">
        <x:v>À retester</x:v>
      </x:c>
      <x:c r="C5" s="12" t="str">
        <x:v>KO</x:v>
      </x:c>
      <x:c r="D5" s="12" t="str">
        <x:v>Prévisionnel</x:v>
      </x:c>
      <x:c r="E5" s="12" t="str"/>
    </x:row>
    <x:row r="6">
      <x:c r="A6" s="12" t="str"/>
      <x:c r="B6" s="12" t="str">
        <x:v>Requalifiée</x:v>
      </x:c>
      <x:c r="C6" s="12" t="str">
        <x:v>Non testé</x:v>
      </x:c>
      <x:c r="D6" s="12" t="str">
        <x:v>Scénarios</x:v>
      </x:c>
      <x:c r="E6" s="12" t="str"/>
    </x:row>
    <x:row r="7">
      <x:c r="A7" s="12" t="str"/>
      <x:c r="B7" s="12" t="str">
        <x:v>Clôturée</x:v>
      </x:c>
      <x:c r="C7" s="12" t="str">
        <x:v>Non applicable</x:v>
      </x:c>
      <x:c r="D7" s="12" t="str">
        <x:v>Règles auto</x:v>
      </x:c>
      <x:c r="E7" s="12" t="str"/>
    </x:row>
    <x:row r="8">
      <x:c r="A8" s="12" t="str"/>
      <x:c r="B8" s="12" t="str">
        <x:v>Reportée</x:v>
      </x:c>
      <x:c r="C8" s="12" t="str"/>
      <x:c r="D8" s="12" t="str">
        <x:v>Budget</x:v>
      </x:c>
      <x:c r="E8" s="12" t="str"/>
    </x:row>
    <x:row r="9">
      <x:c r="A9" s="12" t="str"/>
      <x:c r="B9" s="12" t="str"/>
      <x:c r="C9" s="12" t="str"/>
      <x:c r="D9" s="12" t="str">
        <x:v>Sécurité / sauvegarde</x:v>
      </x:c>
      <x:c r="E9" s="12" t="str"/>
    </x:row>
    <x:row r="10">
      <x:c r="A10" s="12" t="str"/>
      <x:c r="B10" s="12" t="str"/>
      <x:c r="C10" s="12" t="str"/>
      <x:c r="D10" s="12" t="str">
        <x:v>Performance</x:v>
      </x:c>
      <x:c r="E10" s="12" t="str"/>
    </x:row>
    <x:row r="11">
      <x:c r="A11" s="12" t="str"/>
      <x:c r="B11" s="12" t="str"/>
      <x:c r="C11" s="12" t="str"/>
      <x:c r="D11" s="12" t="str">
        <x:v>UX</x:v>
      </x:c>
      <x:c r="E11" s="12" t="str"/>
    </x:row>
  </x:sheetData>
  <x:pageMargins left="0.7" right="0.7" top="0.75" bottom="0.75" header="0.3" footer="0.3"/>
</x:worksheet>
</file>